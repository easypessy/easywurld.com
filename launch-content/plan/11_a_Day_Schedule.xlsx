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" sheetId="1" state="visible" r:id="rId1"/>
    <sheet xmlns:r="http://schemas.openxmlformats.org/officeDocument/2006/relationships" name="Schedule" sheetId="2" state="visible" r:id="rId2"/>
  </sheets>
  <definedNames>
    <definedName name="_xlnm._FilterDatabase" localSheetId="1" hidden="1">'Schedule'!$A$5:$K$335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5">
    <font>
      <name val="Calibri"/>
      <family val="2"/>
      <color theme="1"/>
      <sz val="11"/>
      <scheme val="minor"/>
    </font>
    <font>
      <name val="Georgia"/>
      <b val="1"/>
      <color rgb="000A4937"/>
      <sz val="16"/>
    </font>
    <font>
      <i val="1"/>
      <color rgb="005F6659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7473A"/>
      </patternFill>
    </fill>
  </fills>
  <borders count="2">
    <border>
      <left/>
      <right/>
      <top/>
      <bottom/>
      <diagonal/>
    </border>
    <border>
      <left style="thin">
        <color rgb="00DBD3C4"/>
      </left>
      <right style="thin">
        <color rgb="00DBD3C4"/>
      </right>
      <top style="thin">
        <color rgb="00DBD3C4"/>
      </top>
      <bottom style="thin">
        <color rgb="00DBD3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165" fontId="0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schedule</t>
        </is>
      </c>
    </row>
    <row r="3">
      <c r="A3" s="2" t="inlineStr">
        <is>
          <t>Set your start date in the Schedule sheet (cell B3). Every date updates.</t>
        </is>
      </c>
    </row>
    <row r="4">
      <c r="A4" s="2" t="inlineStr">
        <is>
          <t>Post the slots in the time order shown. CORE rows are the four that matter most. Everything else is optional.</t>
        </is>
      </c>
    </row>
    <row r="5">
      <c r="A5" s="2" t="inlineStr">
        <is>
          <t>The file names match files in the 01_ALL_POSTS_IN_ONE_FOLDER folder, and each has a matching .txt caption.</t>
        </is>
      </c>
    </row>
    <row r="6">
      <c r="A6" s="2" t="inlineStr">
        <is>
          <t>Use the Day_XX.txt files in 02_DAILY_SCRIPTS if you want captions and files listed together for the day.</t>
        </is>
      </c>
    </row>
    <row r="7">
      <c r="A7" s="2" t="inlineStr">
        <is>
          <t>Mark Posted? Yes or Skipped. The counts update.</t>
        </is>
      </c>
    </row>
    <row r="9">
      <c r="A9" s="3" t="inlineStr">
        <is>
          <t>Easywurld · Simplify. Optimize. Grow. · WhatsApp 0905 069 0837</t>
        </is>
      </c>
    </row>
    <row r="10">
      <c r="A10" s="3" t="inlineStr">
        <is>
          <t>Cream-coloured cells are for you to fill in. Formulas calculate when the file is opened in Excel, Google Sheets or LibreOffice.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8" customWidth="1" min="4" max="4"/>
    <col width="30" customWidth="1" min="5" max="5"/>
    <col width="14" customWidth="1" min="6" max="6"/>
    <col width="34" customWidth="1" min="7" max="7"/>
    <col width="28" customWidth="1" min="8" max="8"/>
    <col width="54" customWidth="1" min="9" max="9"/>
    <col width="11" customWidth="1" min="10" max="10"/>
    <col width="60" customWidth="1" min="11" max="11"/>
  </cols>
  <sheetData>
    <row r="1">
      <c r="A1" s="1" t="inlineStr">
        <is>
          <t>11-a-Day Posting Schedule</t>
        </is>
      </c>
    </row>
    <row r="2">
      <c r="A2" s="3" t="inlineStr">
        <is>
          <t>Enter your start date in cell B3. All dates fill in automatically. Mark Posted? as you go.</t>
        </is>
      </c>
    </row>
    <row r="3">
      <c r="A3" s="4" t="inlineStr">
        <is>
          <t>Start date</t>
        </is>
      </c>
      <c r="B3" s="5" t="n">
        <v>46328</v>
      </c>
      <c r="L3" t="inlineStr">
        <is>
          <t>Posted</t>
        </is>
      </c>
      <c r="M3">
        <f>COUNTIF(J6:J335,"Yes")</f>
        <v/>
      </c>
    </row>
    <row r="4">
      <c r="L4" t="inlineStr">
        <is>
          <t>Planned</t>
        </is>
      </c>
      <c r="M4">
        <f>COUNTA(A6:A335)</f>
        <v/>
      </c>
    </row>
    <row r="5" ht="30" customHeight="1">
      <c r="A5" s="6" t="inlineStr">
        <is>
          <t>Day</t>
        </is>
      </c>
      <c r="B5" s="6" t="inlineStr">
        <is>
          <t>Date</t>
        </is>
      </c>
      <c r="C5" s="6" t="inlineStr">
        <is>
          <t>Weekday</t>
        </is>
      </c>
      <c r="D5" s="6" t="inlineStr">
        <is>
          <t>Time</t>
        </is>
      </c>
      <c r="E5" s="6" t="inlineStr">
        <is>
          <t>Platform</t>
        </is>
      </c>
      <c r="F5" s="6" t="inlineStr">
        <is>
          <t>Core / optional</t>
        </is>
      </c>
      <c r="G5" s="6" t="inlineStr">
        <is>
          <t>Offer</t>
        </is>
      </c>
      <c r="H5" s="6" t="inlineStr">
        <is>
          <t>What it is</t>
        </is>
      </c>
      <c r="I5" s="6" t="inlineStr">
        <is>
          <t>File name(s)</t>
        </is>
      </c>
      <c r="J5" s="6" t="inlineStr">
        <is>
          <t>Posted?</t>
        </is>
      </c>
      <c r="K5" s="6" t="inlineStr">
        <is>
          <t>Caption (first 120 characters)</t>
        </is>
      </c>
    </row>
    <row r="6">
      <c r="A6" s="7" t="n">
        <v>1</v>
      </c>
      <c r="B6" s="8">
        <f>$B$3+0</f>
        <v/>
      </c>
      <c r="C6" s="7">
        <f>TEXT(B6,"ddd")</f>
        <v/>
      </c>
      <c r="D6" s="7" t="inlineStr">
        <is>
          <t>08:00</t>
        </is>
      </c>
      <c r="E6" s="7" t="inlineStr">
        <is>
          <t>Instagram + Facebook feed</t>
        </is>
      </c>
      <c r="F6" s="7" t="inlineStr">
        <is>
          <t>CORE</t>
        </is>
      </c>
      <c r="G6" s="7" t="inlineStr">
        <is>
          <t>01 The Chat-to-Customer Playbook</t>
        </is>
      </c>
      <c r="H6" s="7" t="inlineStr">
        <is>
          <t>Carousel or tip post</t>
        </is>
      </c>
      <c r="I6" s="7" t="inlineStr">
        <is>
          <t>O01_Carousel1_Slide1.png, O01_Carousel1_Slide2.png, O01_Carousel1_Slide3.png, O01_Carousel1_Slide4.png, O01_Carousel1_Slide5.png, O01_Carousel1_Slide6.png</t>
        </is>
      </c>
      <c r="J6" s="9" t="inlineStr"/>
      <c r="K6" s="7" t="inlineStr">
        <is>
          <t>Five stages of a chat sale  Swipe through the five stages every chat goes through. The Playbook turns each into scripts.</t>
        </is>
      </c>
    </row>
    <row r="7">
      <c r="A7" s="7" t="n">
        <v>1</v>
      </c>
      <c r="B7" s="8">
        <f>$B$3+0</f>
        <v/>
      </c>
      <c r="C7" s="7">
        <f>TEXT(B7,"ddd")</f>
        <v/>
      </c>
      <c r="D7" s="7" t="inlineStr">
        <is>
          <t>09:00</t>
        </is>
      </c>
      <c r="E7" s="7" t="inlineStr">
        <is>
          <t>WhatsApp Status</t>
        </is>
      </c>
      <c r="F7" s="7" t="inlineStr">
        <is>
          <t>optional</t>
        </is>
      </c>
      <c r="G7" s="7" t="inlineStr">
        <is>
          <t>01 The Chat-to-Customer Playbook</t>
        </is>
      </c>
      <c r="H7" s="7" t="inlineStr">
        <is>
          <t>Launch / promo post</t>
        </is>
      </c>
      <c r="I7" s="7" t="inlineStr">
        <is>
          <t>O01_Post02_Launch.png</t>
        </is>
      </c>
      <c r="J7" s="9" t="inlineStr"/>
      <c r="K7" s="7" t="inlineStr">
        <is>
          <t>New from Easywurld: The Chat-to-Customer Playbook.  Turn WhatsApp and DM enquiries into paid orders, with scripts, a tra</t>
        </is>
      </c>
    </row>
    <row r="8">
      <c r="A8" s="7" t="n">
        <v>1</v>
      </c>
      <c r="B8" s="8">
        <f>$B$3+0</f>
        <v/>
      </c>
      <c r="C8" s="7">
        <f>TEXT(B8,"ddd")</f>
        <v/>
      </c>
      <c r="D8" s="7" t="inlineStr">
        <is>
          <t>10:30</t>
        </is>
      </c>
      <c r="E8" s="7" t="inlineStr">
        <is>
          <t>Instagram Story</t>
        </is>
      </c>
      <c r="F8" s="7" t="inlineStr">
        <is>
          <t>optional</t>
        </is>
      </c>
      <c r="G8" s="7" t="inlineStr">
        <is>
          <t>01 The Chat-to-Customer Playbook</t>
        </is>
      </c>
      <c r="H8" s="7" t="inlineStr">
        <is>
          <t>New-offer story</t>
        </is>
      </c>
      <c r="I8" s="7" t="inlineStr">
        <is>
          <t>O01_Story1_New.png</t>
        </is>
      </c>
      <c r="J8" s="9" t="inlineStr"/>
      <c r="K8" s="7" t="inlineStr">
        <is>
          <t xml:space="preserve">New: The Chat-to-Customer Playbook. Tap, then message PLAYBOOK on WhatsApp. Sticker text suggestion: “Message PLAYBOOK” </t>
        </is>
      </c>
    </row>
    <row r="9">
      <c r="A9" s="7" t="n">
        <v>1</v>
      </c>
      <c r="B9" s="8">
        <f>$B$3+0</f>
        <v/>
      </c>
      <c r="C9" s="7">
        <f>TEXT(B9,"ddd")</f>
        <v/>
      </c>
      <c r="D9" s="7" t="inlineStr">
        <is>
          <t>12:30</t>
        </is>
      </c>
      <c r="E9" s="7" t="inlineStr">
        <is>
          <t>Instagram Reel + Facebook video</t>
        </is>
      </c>
      <c r="F9" s="7" t="inlineStr">
        <is>
          <t>CORE</t>
        </is>
      </c>
      <c r="G9" s="7" t="inlineStr">
        <is>
          <t>01 The Chat-to-Customer Playbook</t>
        </is>
      </c>
      <c r="H9" s="7" t="inlineStr">
        <is>
          <t>Short video</t>
        </is>
      </c>
      <c r="I9" s="7" t="inlineStr">
        <is>
          <t>O01_Video1_Price-question.mp4</t>
        </is>
      </c>
      <c r="J9" s="9" t="inlineStr"/>
      <c r="K9" s="7" t="inlineStr">
        <is>
          <t>Price question  Caption: Message PLAYBOOK on WhatsApp: 0905 069 0837 The Chat-to-Customer Playbook: ₦5,000. Do-it-yourse</t>
        </is>
      </c>
    </row>
    <row r="10">
      <c r="A10" s="7" t="n">
        <v>1</v>
      </c>
      <c r="B10" s="8">
        <f>$B$3+0</f>
        <v/>
      </c>
      <c r="C10" s="7">
        <f>TEXT(B10,"ddd")</f>
        <v/>
      </c>
      <c r="D10" s="7" t="inlineStr">
        <is>
          <t>13:30</t>
        </is>
      </c>
      <c r="E10" s="7" t="inlineStr">
        <is>
          <t>WhatsApp Status</t>
        </is>
      </c>
      <c r="F10" s="7" t="inlineStr">
        <is>
          <t>optional</t>
        </is>
      </c>
      <c r="G10" s="7" t="inlineStr">
        <is>
          <t>01 The Chat-to-Customer Playbook</t>
        </is>
      </c>
      <c r="H10" s="7" t="inlineStr">
        <is>
          <t>What is inside</t>
        </is>
      </c>
      <c r="I10" s="7" t="inlineStr">
        <is>
          <t>O01_Post05_Value.png</t>
        </is>
      </c>
      <c r="J10" s="9" t="inlineStr"/>
      <c r="K10" s="7" t="inlineStr">
        <is>
          <t>What is inside the The Chat-to-Customer Playbook, and what we estimate it would cost to produce.  - Chat-to-Customer Pla</t>
        </is>
      </c>
    </row>
    <row r="11">
      <c r="A11" s="7" t="n">
        <v>1</v>
      </c>
      <c r="B11" s="8">
        <f>$B$3+0</f>
        <v/>
      </c>
      <c r="C11" s="7">
        <f>TEXT(B11,"ddd")</f>
        <v/>
      </c>
      <c r="D11" s="7" t="inlineStr">
        <is>
          <t>15:00</t>
        </is>
      </c>
      <c r="E11" s="7" t="inlineStr">
        <is>
          <t>Facebook feed</t>
        </is>
      </c>
      <c r="F11" s="7" t="inlineStr">
        <is>
          <t>CORE</t>
        </is>
      </c>
      <c r="G11" s="7" t="inlineStr">
        <is>
          <t>01 The Chat-to-Customer Playbook</t>
        </is>
      </c>
      <c r="H11" s="7" t="inlineStr">
        <is>
          <t>Honest-answer (objection) post</t>
        </is>
      </c>
      <c r="I11" s="7" t="inlineStr">
        <is>
          <t>O01_Post03_Honest-answer.png</t>
        </is>
      </c>
      <c r="J11" s="9" t="inlineStr"/>
      <c r="K11" s="7" t="inlineStr">
        <is>
          <t xml:space="preserve">Straight answer: no playbook can promise sales.  What the Chat-to-Customer Playbook does: gives you a clear reply flow, </t>
        </is>
      </c>
    </row>
    <row r="12">
      <c r="A12" s="7" t="n">
        <v>1</v>
      </c>
      <c r="B12" s="8">
        <f>$B$3+0</f>
        <v/>
      </c>
      <c r="C12" s="7">
        <f>TEXT(B12,"ddd")</f>
        <v/>
      </c>
      <c r="D12" s="7" t="inlineStr">
        <is>
          <t>16:00</t>
        </is>
      </c>
      <c r="E12" s="7" t="inlineStr">
        <is>
          <t>Instagram Story</t>
        </is>
      </c>
      <c r="F12" s="7" t="inlineStr">
        <is>
          <t>optional</t>
        </is>
      </c>
      <c r="G12" s="7" t="inlineStr">
        <is>
          <t>01 The Chat-to-Customer Playbook</t>
        </is>
      </c>
      <c r="H12" s="7" t="inlineStr">
        <is>
          <t>Price story</t>
        </is>
      </c>
      <c r="I12" s="7" t="inlineStr">
        <is>
          <t>O01_Story2_Price.png</t>
        </is>
      </c>
      <c r="J12" s="9" t="inlineStr"/>
      <c r="K12" s="7" t="inlineStr">
        <is>
          <t>The Chat-to-Customer Playbook: ₦5,000. Estimated replacement cost of what is inside: ₦35,000 (our estimate, not a previo</t>
        </is>
      </c>
    </row>
    <row r="13">
      <c r="A13" s="7" t="n">
        <v>1</v>
      </c>
      <c r="B13" s="8">
        <f>$B$3+0</f>
        <v/>
      </c>
      <c r="C13" s="7">
        <f>TEXT(B13,"ddd")</f>
        <v/>
      </c>
      <c r="D13" s="7" t="inlineStr">
        <is>
          <t>17:00</t>
        </is>
      </c>
      <c r="E13" s="7" t="inlineStr">
        <is>
          <t>WhatsApp Status</t>
        </is>
      </c>
      <c r="F13" s="7" t="inlineStr">
        <is>
          <t>CORE</t>
        </is>
      </c>
      <c r="G13" s="7" t="inlineStr">
        <is>
          <t>01 The Chat-to-Customer Playbook</t>
        </is>
      </c>
      <c r="H13" s="7" t="inlineStr">
        <is>
          <t>Direct-response post</t>
        </is>
      </c>
      <c r="I13" s="7" t="inlineStr">
        <is>
          <t>O01_Post06_Order.png</t>
        </is>
      </c>
      <c r="J13" s="9" t="inlineStr"/>
      <c r="K13" s="7" t="inlineStr">
        <is>
          <t>Want the The Chat-to-Customer Playbook?  Send the word PLAYBOOK on WhatsApp (0905 069 0837) and we will reply with how t</t>
        </is>
      </c>
    </row>
    <row r="14">
      <c r="A14" s="7" t="n">
        <v>1</v>
      </c>
      <c r="B14" s="8">
        <f>$B$3+0</f>
        <v/>
      </c>
      <c r="C14" s="7">
        <f>TEXT(B14,"ddd")</f>
        <v/>
      </c>
      <c r="D14" s="7" t="inlineStr">
        <is>
          <t>18:30</t>
        </is>
      </c>
      <c r="E14" s="7" t="inlineStr">
        <is>
          <t>LinkedIn</t>
        </is>
      </c>
      <c r="F14" s="7" t="inlineStr">
        <is>
          <t>optional</t>
        </is>
      </c>
      <c r="G14" s="7" t="inlineStr">
        <is>
          <t>01 The Chat-to-Customer Playbook</t>
        </is>
      </c>
      <c r="H14" s="7" t="inlineStr">
        <is>
          <t>Text post (no media needed)</t>
        </is>
      </c>
      <c r="I14" s="7" t="inlineStr">
        <is>
          <t>O01_LinkedIn1.txt</t>
        </is>
      </c>
      <c r="J14" s="9" t="inlineStr"/>
      <c r="K14" s="7" t="inlineStr">
        <is>
          <t>Most small businesses in Nigeria do not lose sales on price. They lose them in the gap between “how much?” and the secon</t>
        </is>
      </c>
    </row>
    <row r="15">
      <c r="A15" s="7" t="n">
        <v>1</v>
      </c>
      <c r="B15" s="8">
        <f>$B$3+0</f>
        <v/>
      </c>
      <c r="C15" s="7">
        <f>TEXT(B15,"ddd")</f>
        <v/>
      </c>
      <c r="D15" s="7" t="inlineStr">
        <is>
          <t>20:00</t>
        </is>
      </c>
      <c r="E15" s="7" t="inlineStr">
        <is>
          <t>Instagram + Facebook feed</t>
        </is>
      </c>
      <c r="F15" s="7" t="inlineStr">
        <is>
          <t>optional</t>
        </is>
      </c>
      <c r="G15" s="7" t="inlineStr">
        <is>
          <t>01 The Chat-to-Customer Playbook</t>
        </is>
      </c>
      <c r="H15" s="7" t="inlineStr">
        <is>
          <t>Second feed post</t>
        </is>
      </c>
      <c r="I15" s="7" t="inlineStr">
        <is>
          <t>O01_Post01_Tip.png</t>
        </is>
      </c>
      <c r="J15" s="9" t="inlineStr"/>
      <c r="K15" s="7" t="inlineStr">
        <is>
          <t>Someone asks “how much?” and you reply with a number. Then silence.  Try three parts instead: 1. The price 2. What it in</t>
        </is>
      </c>
    </row>
    <row r="16">
      <c r="A16" s="7" t="n">
        <v>1</v>
      </c>
      <c r="B16" s="8">
        <f>$B$3+0</f>
        <v/>
      </c>
      <c r="C16" s="7">
        <f>TEXT(B16,"ddd")</f>
        <v/>
      </c>
      <c r="D16" s="7" t="inlineStr">
        <is>
          <t>21:00</t>
        </is>
      </c>
      <c r="E16" s="7" t="inlineStr">
        <is>
          <t>WhatsApp Status</t>
        </is>
      </c>
      <c r="F16" s="7" t="inlineStr">
        <is>
          <t>optional</t>
        </is>
      </c>
      <c r="G16" s="7" t="inlineStr">
        <is>
          <t>All nine offers</t>
        </is>
      </c>
      <c r="H16" s="7" t="inlineStr">
        <is>
          <t>All-nine launch banner</t>
        </is>
      </c>
      <c r="I16" s="7" t="inlineStr">
        <is>
          <t>ALL_Nine_Offers_Banner.png</t>
        </is>
      </c>
      <c r="J16" s="9" t="inlineStr"/>
      <c r="K16" s="7" t="inlineStr">
        <is>
          <t>Nine practical resources for small businesses in Nigeria. ₦5,000 each.  Playbooks, templates, workbooks and toolkits you</t>
        </is>
      </c>
    </row>
    <row r="17">
      <c r="A17" s="7" t="n">
        <v>2</v>
      </c>
      <c r="B17" s="8">
        <f>$B$3+1</f>
        <v/>
      </c>
      <c r="C17" s="7">
        <f>TEXT(B17,"ddd")</f>
        <v/>
      </c>
      <c r="D17" s="7" t="inlineStr">
        <is>
          <t>08:00</t>
        </is>
      </c>
      <c r="E17" s="7" t="inlineStr">
        <is>
          <t>Instagram + Facebook feed</t>
        </is>
      </c>
      <c r="F17" s="7" t="inlineStr">
        <is>
          <t>CORE</t>
        </is>
      </c>
      <c r="G17" s="7" t="inlineStr">
        <is>
          <t>02 The Clear Homepage Blueprint</t>
        </is>
      </c>
      <c r="H17" s="7" t="inlineStr">
        <is>
          <t>Carousel or tip post</t>
        </is>
      </c>
      <c r="I17" s="7" t="inlineStr">
        <is>
          <t>O02_Carousel1_Slide1.png, O02_Carousel1_Slide2.png, O02_Carousel1_Slide3.png, O02_Carousel1_Slide4.png, O02_Carousel1_Slide5.png, O02_Carousel1_Slide6.png</t>
        </is>
      </c>
      <c r="J17" s="9" t="inlineStr"/>
      <c r="K17" s="7" t="inlineStr">
        <is>
          <t>The ten-second test  Five questions a visitor silently asks.  Clear Homepage Blueprint, ₦5,000. Message CLEAR on WhatsAp</t>
        </is>
      </c>
    </row>
    <row r="18">
      <c r="A18" s="7" t="n">
        <v>2</v>
      </c>
      <c r="B18" s="8">
        <f>$B$3+1</f>
        <v/>
      </c>
      <c r="C18" s="7">
        <f>TEXT(B18,"ddd")</f>
        <v/>
      </c>
      <c r="D18" s="7" t="inlineStr">
        <is>
          <t>09:00</t>
        </is>
      </c>
      <c r="E18" s="7" t="inlineStr">
        <is>
          <t>WhatsApp Status</t>
        </is>
      </c>
      <c r="F18" s="7" t="inlineStr">
        <is>
          <t>optional</t>
        </is>
      </c>
      <c r="G18" s="7" t="inlineStr">
        <is>
          <t>02 The Clear Homepage Blueprint</t>
        </is>
      </c>
      <c r="H18" s="7" t="inlineStr">
        <is>
          <t>Launch / promo post</t>
        </is>
      </c>
      <c r="I18" s="7" t="inlineStr">
        <is>
          <t>O02_Post02_Launch.png</t>
        </is>
      </c>
      <c r="J18" s="9" t="inlineStr"/>
      <c r="K18" s="7" t="inlineStr">
        <is>
          <t>New from Easywurld: The Clear Homepage Blueprint.  Rewrite your homepage so a visitor knows what you sell, who it is for</t>
        </is>
      </c>
    </row>
    <row r="19">
      <c r="A19" s="7" t="n">
        <v>2</v>
      </c>
      <c r="B19" s="8">
        <f>$B$3+1</f>
        <v/>
      </c>
      <c r="C19" s="7">
        <f>TEXT(B19,"ddd")</f>
        <v/>
      </c>
      <c r="D19" s="7" t="inlineStr">
        <is>
          <t>10:30</t>
        </is>
      </c>
      <c r="E19" s="7" t="inlineStr">
        <is>
          <t>Instagram Story</t>
        </is>
      </c>
      <c r="F19" s="7" t="inlineStr">
        <is>
          <t>optional</t>
        </is>
      </c>
      <c r="G19" s="7" t="inlineStr">
        <is>
          <t>02 The Clear Homepage Blueprint</t>
        </is>
      </c>
      <c r="H19" s="7" t="inlineStr">
        <is>
          <t>New-offer story</t>
        </is>
      </c>
      <c r="I19" s="7" t="inlineStr">
        <is>
          <t>O02_Story1_New.png</t>
        </is>
      </c>
      <c r="J19" s="9" t="inlineStr"/>
      <c r="K19" s="7" t="inlineStr">
        <is>
          <t>New: The Clear Homepage Blueprint. Tap, then message CLEAR on WhatsApp. Sticker text suggestion: “Message CLEAR” Link or</t>
        </is>
      </c>
    </row>
    <row r="20">
      <c r="A20" s="7" t="n">
        <v>2</v>
      </c>
      <c r="B20" s="8">
        <f>$B$3+1</f>
        <v/>
      </c>
      <c r="C20" s="7">
        <f>TEXT(B20,"ddd")</f>
        <v/>
      </c>
      <c r="D20" s="7" t="inlineStr">
        <is>
          <t>12:30</t>
        </is>
      </c>
      <c r="E20" s="7" t="inlineStr">
        <is>
          <t>Instagram Reel + Facebook video</t>
        </is>
      </c>
      <c r="F20" s="7" t="inlineStr">
        <is>
          <t>CORE</t>
        </is>
      </c>
      <c r="G20" s="7" t="inlineStr">
        <is>
          <t>02 The Clear Homepage Blueprint</t>
        </is>
      </c>
      <c r="H20" s="7" t="inlineStr">
        <is>
          <t>Short video</t>
        </is>
      </c>
      <c r="I20" s="7" t="inlineStr">
        <is>
          <t>O02_Video1_Ten-second-test.mp4</t>
        </is>
      </c>
      <c r="J20" s="9" t="inlineStr"/>
      <c r="K20" s="7" t="inlineStr">
        <is>
          <t>Ten-second test  Caption: Message CLEAR on WhatsApp: 0905 069 0837 The Clear Homepage Blueprint: ₦5,000. Do-it-yourself,</t>
        </is>
      </c>
    </row>
    <row r="21">
      <c r="A21" s="7" t="n">
        <v>2</v>
      </c>
      <c r="B21" s="8">
        <f>$B$3+1</f>
        <v/>
      </c>
      <c r="C21" s="7">
        <f>TEXT(B21,"ddd")</f>
        <v/>
      </c>
      <c r="D21" s="7" t="inlineStr">
        <is>
          <t>13:30</t>
        </is>
      </c>
      <c r="E21" s="7" t="inlineStr">
        <is>
          <t>WhatsApp Status</t>
        </is>
      </c>
      <c r="F21" s="7" t="inlineStr">
        <is>
          <t>optional</t>
        </is>
      </c>
      <c r="G21" s="7" t="inlineStr">
        <is>
          <t>02 The Clear Homepage Blueprint</t>
        </is>
      </c>
      <c r="H21" s="7" t="inlineStr">
        <is>
          <t>What is inside</t>
        </is>
      </c>
      <c r="I21" s="7" t="inlineStr">
        <is>
          <t>O02_Post05_Value.png</t>
        </is>
      </c>
      <c r="J21" s="9" t="inlineStr"/>
      <c r="K21" s="7" t="inlineStr">
        <is>
          <t>What is inside the The Clear Homepage Blueprint, and what we estimate it would cost to produce.  - Clear Homepage Bluepr</t>
        </is>
      </c>
    </row>
    <row r="22">
      <c r="A22" s="7" t="n">
        <v>2</v>
      </c>
      <c r="B22" s="8">
        <f>$B$3+1</f>
        <v/>
      </c>
      <c r="C22" s="7">
        <f>TEXT(B22,"ddd")</f>
        <v/>
      </c>
      <c r="D22" s="7" t="inlineStr">
        <is>
          <t>15:00</t>
        </is>
      </c>
      <c r="E22" s="7" t="inlineStr">
        <is>
          <t>Facebook feed</t>
        </is>
      </c>
      <c r="F22" s="7" t="inlineStr">
        <is>
          <t>CORE</t>
        </is>
      </c>
      <c r="G22" s="7" t="inlineStr">
        <is>
          <t>02 The Clear Homepage Blueprint</t>
        </is>
      </c>
      <c r="H22" s="7" t="inlineStr">
        <is>
          <t>Honest-answer (objection) post</t>
        </is>
      </c>
      <c r="I22" s="7" t="inlineStr">
        <is>
          <t>O02_Post03_Honest-answer.png</t>
        </is>
      </c>
      <c r="J22" s="9" t="inlineStr"/>
      <c r="K22" s="7" t="inlineStr">
        <is>
          <t xml:space="preserve">Good. Most small business sites do not need rebuilding. They need clearer words.  The 20-Point Homepage Audit Scorecard </t>
        </is>
      </c>
    </row>
    <row r="23">
      <c r="A23" s="7" t="n">
        <v>2</v>
      </c>
      <c r="B23" s="8">
        <f>$B$3+1</f>
        <v/>
      </c>
      <c r="C23" s="7">
        <f>TEXT(B23,"ddd")</f>
        <v/>
      </c>
      <c r="D23" s="7" t="inlineStr">
        <is>
          <t>16:00</t>
        </is>
      </c>
      <c r="E23" s="7" t="inlineStr">
        <is>
          <t>Instagram Story</t>
        </is>
      </c>
      <c r="F23" s="7" t="inlineStr">
        <is>
          <t>optional</t>
        </is>
      </c>
      <c r="G23" s="7" t="inlineStr">
        <is>
          <t>02 The Clear Homepage Blueprint</t>
        </is>
      </c>
      <c r="H23" s="7" t="inlineStr">
        <is>
          <t>Price story</t>
        </is>
      </c>
      <c r="I23" s="7" t="inlineStr">
        <is>
          <t>O02_Story2_Price.png</t>
        </is>
      </c>
      <c r="J23" s="9" t="inlineStr"/>
      <c r="K23" s="7" t="inlineStr">
        <is>
          <t>The Clear Homepage Blueprint: ₦5,000. Estimated replacement cost of what is inside: ₦32,500 (our estimate, not a previou</t>
        </is>
      </c>
    </row>
    <row r="24">
      <c r="A24" s="7" t="n">
        <v>2</v>
      </c>
      <c r="B24" s="8">
        <f>$B$3+1</f>
        <v/>
      </c>
      <c r="C24" s="7">
        <f>TEXT(B24,"ddd")</f>
        <v/>
      </c>
      <c r="D24" s="7" t="inlineStr">
        <is>
          <t>17:00</t>
        </is>
      </c>
      <c r="E24" s="7" t="inlineStr">
        <is>
          <t>WhatsApp Status</t>
        </is>
      </c>
      <c r="F24" s="7" t="inlineStr">
        <is>
          <t>CORE</t>
        </is>
      </c>
      <c r="G24" s="7" t="inlineStr">
        <is>
          <t>02 The Clear Homepage Blueprint</t>
        </is>
      </c>
      <c r="H24" s="7" t="inlineStr">
        <is>
          <t>Direct-response post</t>
        </is>
      </c>
      <c r="I24" s="7" t="inlineStr">
        <is>
          <t>O02_Post06_Order.png</t>
        </is>
      </c>
      <c r="J24" s="9" t="inlineStr"/>
      <c r="K24" s="7" t="inlineStr">
        <is>
          <t>Want the The Clear Homepage Blueprint?  Send the word CLEAR on WhatsApp (0905 069 0837) and we will reply with how to pa</t>
        </is>
      </c>
    </row>
    <row r="25">
      <c r="A25" s="7" t="n">
        <v>2</v>
      </c>
      <c r="B25" s="8">
        <f>$B$3+1</f>
        <v/>
      </c>
      <c r="C25" s="7">
        <f>TEXT(B25,"ddd")</f>
        <v/>
      </c>
      <c r="D25" s="7" t="inlineStr">
        <is>
          <t>18:30</t>
        </is>
      </c>
      <c r="E25" s="7" t="inlineStr">
        <is>
          <t>LinkedIn</t>
        </is>
      </c>
      <c r="F25" s="7" t="inlineStr">
        <is>
          <t>optional</t>
        </is>
      </c>
      <c r="G25" s="7" t="inlineStr">
        <is>
          <t>02 The Clear Homepage Blueprint</t>
        </is>
      </c>
      <c r="H25" s="7" t="inlineStr">
        <is>
          <t>Text post (no media needed)</t>
        </is>
      </c>
      <c r="I25" s="7" t="inlineStr">
        <is>
          <t>O02_LinkedIn1.txt</t>
        </is>
      </c>
      <c r="J25" s="9" t="inlineStr"/>
      <c r="K25" s="7" t="inlineStr">
        <is>
          <t>A homepage has about ten seconds to answer three questions: what do you do, who is it for, and what should I do next?  I</t>
        </is>
      </c>
    </row>
    <row r="26">
      <c r="A26" s="7" t="n">
        <v>2</v>
      </c>
      <c r="B26" s="8">
        <f>$B$3+1</f>
        <v/>
      </c>
      <c r="C26" s="7">
        <f>TEXT(B26,"ddd")</f>
        <v/>
      </c>
      <c r="D26" s="7" t="inlineStr">
        <is>
          <t>20:00</t>
        </is>
      </c>
      <c r="E26" s="7" t="inlineStr">
        <is>
          <t>Instagram + Facebook feed</t>
        </is>
      </c>
      <c r="F26" s="7" t="inlineStr">
        <is>
          <t>optional</t>
        </is>
      </c>
      <c r="G26" s="7" t="inlineStr">
        <is>
          <t>02 The Clear Homepage Blueprint</t>
        </is>
      </c>
      <c r="H26" s="7" t="inlineStr">
        <is>
          <t>Second feed post</t>
        </is>
      </c>
      <c r="I26" s="7" t="inlineStr">
        <is>
          <t>O02_Post01_Tip.png</t>
        </is>
      </c>
      <c r="J26" s="9" t="inlineStr"/>
      <c r="K26" s="7" t="inlineStr">
        <is>
          <t>Show your homepage to a friend for ten seconds. Then hide it.  Ask three questions: 1. What does this business do? 2. Wh</t>
        </is>
      </c>
    </row>
    <row r="27">
      <c r="A27" s="7" t="n">
        <v>2</v>
      </c>
      <c r="B27" s="8">
        <f>$B$3+1</f>
        <v/>
      </c>
      <c r="C27" s="7">
        <f>TEXT(B27,"ddd")</f>
        <v/>
      </c>
      <c r="D27" s="7" t="inlineStr">
        <is>
          <t>21:00</t>
        </is>
      </c>
      <c r="E27" s="7" t="inlineStr">
        <is>
          <t>WhatsApp Status</t>
        </is>
      </c>
      <c r="F27" s="7" t="inlineStr">
        <is>
          <t>optional</t>
        </is>
      </c>
      <c r="G27" s="7" t="inlineStr">
        <is>
          <t>02 The Clear Homepage Blueprint</t>
        </is>
      </c>
      <c r="H27" s="7" t="inlineStr">
        <is>
          <t>Banner or price graphic</t>
        </is>
      </c>
      <c r="I27" s="7" t="inlineStr">
        <is>
          <t>O02_Banner.png</t>
        </is>
      </c>
      <c r="J27" s="9" t="inlineStr"/>
      <c r="K27" s="7" t="inlineStr">
        <is>
          <t>The Clear Homepage Blueprint. ₦5,000.  Rewrite your homepage so a visitor knows what you sell, who it is for and what to</t>
        </is>
      </c>
    </row>
    <row r="28">
      <c r="A28" s="7" t="n">
        <v>3</v>
      </c>
      <c r="B28" s="8">
        <f>$B$3+2</f>
        <v/>
      </c>
      <c r="C28" s="7">
        <f>TEXT(B28,"ddd")</f>
        <v/>
      </c>
      <c r="D28" s="7" t="inlineStr">
        <is>
          <t>08:00</t>
        </is>
      </c>
      <c r="E28" s="7" t="inlineStr">
        <is>
          <t>Instagram + Facebook feed</t>
        </is>
      </c>
      <c r="F28" s="7" t="inlineStr">
        <is>
          <t>CORE</t>
        </is>
      </c>
      <c r="G28" s="7" t="inlineStr">
        <is>
          <t>03 The 30-Day Content Engine</t>
        </is>
      </c>
      <c r="H28" s="7" t="inlineStr">
        <is>
          <t>Carousel or tip post</t>
        </is>
      </c>
      <c r="I28" s="7" t="inlineStr">
        <is>
          <t>O03_Carousel1_Slide1.png, O03_Carousel1_Slide2.png, O03_Carousel1_Slide3.png, O03_Carousel1_Slide4.png, O03_Carousel1_Slide5.png, O03_Carousel1_Slide6.png</t>
        </is>
      </c>
      <c r="J28" s="9" t="inlineStr"/>
      <c r="K28" s="7" t="inlineStr">
        <is>
          <t>The four content pillars  A simple structure to stop running out of ideas.  30-Day Content Engine, ₦5,000. Message ENGIN</t>
        </is>
      </c>
    </row>
    <row r="29">
      <c r="A29" s="7" t="n">
        <v>3</v>
      </c>
      <c r="B29" s="8">
        <f>$B$3+2</f>
        <v/>
      </c>
      <c r="C29" s="7">
        <f>TEXT(B29,"ddd")</f>
        <v/>
      </c>
      <c r="D29" s="7" t="inlineStr">
        <is>
          <t>09:00</t>
        </is>
      </c>
      <c r="E29" s="7" t="inlineStr">
        <is>
          <t>WhatsApp Status</t>
        </is>
      </c>
      <c r="F29" s="7" t="inlineStr">
        <is>
          <t>optional</t>
        </is>
      </c>
      <c r="G29" s="7" t="inlineStr">
        <is>
          <t>03 The 30-Day Content Engine</t>
        </is>
      </c>
      <c r="H29" s="7" t="inlineStr">
        <is>
          <t>Launch / promo post</t>
        </is>
      </c>
      <c r="I29" s="7" t="inlineStr">
        <is>
          <t>O03_Post02_Launch.png</t>
        </is>
      </c>
      <c r="J29" s="9" t="inlineStr"/>
      <c r="K29" s="7" t="inlineStr">
        <is>
          <t>New from Easywurld: The 30-Day Content Engine.  A realistic one-person content system: pillars, 60 post ideas, hook form</t>
        </is>
      </c>
    </row>
    <row r="30">
      <c r="A30" s="7" t="n">
        <v>3</v>
      </c>
      <c r="B30" s="8">
        <f>$B$3+2</f>
        <v/>
      </c>
      <c r="C30" s="7">
        <f>TEXT(B30,"ddd")</f>
        <v/>
      </c>
      <c r="D30" s="7" t="inlineStr">
        <is>
          <t>10:30</t>
        </is>
      </c>
      <c r="E30" s="7" t="inlineStr">
        <is>
          <t>Instagram Story</t>
        </is>
      </c>
      <c r="F30" s="7" t="inlineStr">
        <is>
          <t>optional</t>
        </is>
      </c>
      <c r="G30" s="7" t="inlineStr">
        <is>
          <t>03 The 30-Day Content Engine</t>
        </is>
      </c>
      <c r="H30" s="7" t="inlineStr">
        <is>
          <t>New-offer story</t>
        </is>
      </c>
      <c r="I30" s="7" t="inlineStr">
        <is>
          <t>O03_Story1_New.png</t>
        </is>
      </c>
      <c r="J30" s="9" t="inlineStr"/>
      <c r="K30" s="7" t="inlineStr">
        <is>
          <t xml:space="preserve">New: The 30-Day Content Engine. Tap, then message ENGINE on WhatsApp. Sticker text suggestion: “Message ENGINE” Link or </t>
        </is>
      </c>
    </row>
    <row r="31">
      <c r="A31" s="7" t="n">
        <v>3</v>
      </c>
      <c r="B31" s="8">
        <f>$B$3+2</f>
        <v/>
      </c>
      <c r="C31" s="7">
        <f>TEXT(B31,"ddd")</f>
        <v/>
      </c>
      <c r="D31" s="7" t="inlineStr">
        <is>
          <t>12:30</t>
        </is>
      </c>
      <c r="E31" s="7" t="inlineStr">
        <is>
          <t>Instagram Reel + Facebook video</t>
        </is>
      </c>
      <c r="F31" s="7" t="inlineStr">
        <is>
          <t>CORE</t>
        </is>
      </c>
      <c r="G31" s="7" t="inlineStr">
        <is>
          <t>03 The 30-Day Content Engine</t>
        </is>
      </c>
      <c r="H31" s="7" t="inlineStr">
        <is>
          <t>Short video</t>
        </is>
      </c>
      <c r="I31" s="7" t="inlineStr">
        <is>
          <t>O03_Video1_Four-pillars.mp4</t>
        </is>
      </c>
      <c r="J31" s="9" t="inlineStr"/>
      <c r="K31" s="7" t="inlineStr">
        <is>
          <t>Four pillars  Caption: Message ENGINE on WhatsApp: 0905 069 0837 The 30-Day Content Engine: ₦5,000. Do-it-yourself, no g</t>
        </is>
      </c>
    </row>
    <row r="32">
      <c r="A32" s="7" t="n">
        <v>3</v>
      </c>
      <c r="B32" s="8">
        <f>$B$3+2</f>
        <v/>
      </c>
      <c r="C32" s="7">
        <f>TEXT(B32,"ddd")</f>
        <v/>
      </c>
      <c r="D32" s="7" t="inlineStr">
        <is>
          <t>13:30</t>
        </is>
      </c>
      <c r="E32" s="7" t="inlineStr">
        <is>
          <t>WhatsApp Status</t>
        </is>
      </c>
      <c r="F32" s="7" t="inlineStr">
        <is>
          <t>optional</t>
        </is>
      </c>
      <c r="G32" s="7" t="inlineStr">
        <is>
          <t>03 The 30-Day Content Engine</t>
        </is>
      </c>
      <c r="H32" s="7" t="inlineStr">
        <is>
          <t>What is inside</t>
        </is>
      </c>
      <c r="I32" s="7" t="inlineStr">
        <is>
          <t>O03_Post05_Value.png</t>
        </is>
      </c>
      <c r="J32" s="9" t="inlineStr"/>
      <c r="K32" s="7" t="inlineStr">
        <is>
          <t>What is inside the The 30-Day Content Engine, and what we estimate it would cost to produce.  - 30-Day Content Engine Gu</t>
        </is>
      </c>
    </row>
    <row r="33">
      <c r="A33" s="7" t="n">
        <v>3</v>
      </c>
      <c r="B33" s="8">
        <f>$B$3+2</f>
        <v/>
      </c>
      <c r="C33" s="7">
        <f>TEXT(B33,"ddd")</f>
        <v/>
      </c>
      <c r="D33" s="7" t="inlineStr">
        <is>
          <t>15:00</t>
        </is>
      </c>
      <c r="E33" s="7" t="inlineStr">
        <is>
          <t>Facebook feed</t>
        </is>
      </c>
      <c r="F33" s="7" t="inlineStr">
        <is>
          <t>CORE</t>
        </is>
      </c>
      <c r="G33" s="7" t="inlineStr">
        <is>
          <t>03 The 30-Day Content Engine</t>
        </is>
      </c>
      <c r="H33" s="7" t="inlineStr">
        <is>
          <t>Honest-answer (objection) post</t>
        </is>
      </c>
      <c r="I33" s="7" t="inlineStr">
        <is>
          <t>O03_Post03_Honest-answer.png</t>
        </is>
      </c>
      <c r="J33" s="9" t="inlineStr"/>
      <c r="K33" s="7" t="inlineStr">
        <is>
          <t xml:space="preserve">Honest answer: no tool or plan can promise followers, reach or sales. Platforms change.  What the 30-Day Content Engine </t>
        </is>
      </c>
    </row>
    <row r="34">
      <c r="A34" s="7" t="n">
        <v>3</v>
      </c>
      <c r="B34" s="8">
        <f>$B$3+2</f>
        <v/>
      </c>
      <c r="C34" s="7">
        <f>TEXT(B34,"ddd")</f>
        <v/>
      </c>
      <c r="D34" s="7" t="inlineStr">
        <is>
          <t>16:00</t>
        </is>
      </c>
      <c r="E34" s="7" t="inlineStr">
        <is>
          <t>Instagram Story</t>
        </is>
      </c>
      <c r="F34" s="7" t="inlineStr">
        <is>
          <t>optional</t>
        </is>
      </c>
      <c r="G34" s="7" t="inlineStr">
        <is>
          <t>03 The 30-Day Content Engine</t>
        </is>
      </c>
      <c r="H34" s="7" t="inlineStr">
        <is>
          <t>Price story</t>
        </is>
      </c>
      <c r="I34" s="7" t="inlineStr">
        <is>
          <t>O03_Story2_Price.png</t>
        </is>
      </c>
      <c r="J34" s="9" t="inlineStr"/>
      <c r="K34" s="7" t="inlineStr">
        <is>
          <t>The 30-Day Content Engine: ₦5,000. Estimated replacement cost of what is inside: ₦32,500 (our estimate, not a previous p</t>
        </is>
      </c>
    </row>
    <row r="35">
      <c r="A35" s="7" t="n">
        <v>3</v>
      </c>
      <c r="B35" s="8">
        <f>$B$3+2</f>
        <v/>
      </c>
      <c r="C35" s="7">
        <f>TEXT(B35,"ddd")</f>
        <v/>
      </c>
      <c r="D35" s="7" t="inlineStr">
        <is>
          <t>17:00</t>
        </is>
      </c>
      <c r="E35" s="7" t="inlineStr">
        <is>
          <t>WhatsApp Status</t>
        </is>
      </c>
      <c r="F35" s="7" t="inlineStr">
        <is>
          <t>CORE</t>
        </is>
      </c>
      <c r="G35" s="7" t="inlineStr">
        <is>
          <t>03 The 30-Day Content Engine</t>
        </is>
      </c>
      <c r="H35" s="7" t="inlineStr">
        <is>
          <t>Direct-response post</t>
        </is>
      </c>
      <c r="I35" s="7" t="inlineStr">
        <is>
          <t>O03_Post06_Order.png</t>
        </is>
      </c>
      <c r="J35" s="9" t="inlineStr"/>
      <c r="K35" s="7" t="inlineStr">
        <is>
          <t xml:space="preserve">Want the The 30-Day Content Engine?  Send the word ENGINE on WhatsApp (0905 069 0837) and we will reply with how to pay </t>
        </is>
      </c>
    </row>
    <row r="36">
      <c r="A36" s="7" t="n">
        <v>3</v>
      </c>
      <c r="B36" s="8">
        <f>$B$3+2</f>
        <v/>
      </c>
      <c r="C36" s="7">
        <f>TEXT(B36,"ddd")</f>
        <v/>
      </c>
      <c r="D36" s="7" t="inlineStr">
        <is>
          <t>18:30</t>
        </is>
      </c>
      <c r="E36" s="7" t="inlineStr">
        <is>
          <t>LinkedIn</t>
        </is>
      </c>
      <c r="F36" s="7" t="inlineStr">
        <is>
          <t>optional</t>
        </is>
      </c>
      <c r="G36" s="7" t="inlineStr">
        <is>
          <t>03 The 30-Day Content Engine</t>
        </is>
      </c>
      <c r="H36" s="7" t="inlineStr">
        <is>
          <t>Text post (no media needed)</t>
        </is>
      </c>
      <c r="I36" s="7" t="inlineStr">
        <is>
          <t>O03_LinkedIn1.txt</t>
        </is>
      </c>
      <c r="J36" s="9" t="inlineStr"/>
      <c r="K36" s="7" t="inlineStr">
        <is>
          <t>Consistency is the hard part of content for a one-person business. Not ideas, not tools: consistency.  What has helped m</t>
        </is>
      </c>
    </row>
    <row r="37">
      <c r="A37" s="7" t="n">
        <v>3</v>
      </c>
      <c r="B37" s="8">
        <f>$B$3+2</f>
        <v/>
      </c>
      <c r="C37" s="7">
        <f>TEXT(B37,"ddd")</f>
        <v/>
      </c>
      <c r="D37" s="7" t="inlineStr">
        <is>
          <t>20:00</t>
        </is>
      </c>
      <c r="E37" s="7" t="inlineStr">
        <is>
          <t>Instagram + Facebook feed</t>
        </is>
      </c>
      <c r="F37" s="7" t="inlineStr">
        <is>
          <t>optional</t>
        </is>
      </c>
      <c r="G37" s="7" t="inlineStr">
        <is>
          <t>03 The 30-Day Content Engine</t>
        </is>
      </c>
      <c r="H37" s="7" t="inlineStr">
        <is>
          <t>Second feed post</t>
        </is>
      </c>
      <c r="I37" s="7" t="inlineStr">
        <is>
          <t>O03_Post01_Tip.png</t>
        </is>
      </c>
      <c r="J37" s="9" t="inlineStr"/>
      <c r="K37" s="7" t="inlineStr">
        <is>
          <t>Running out of things to post?  Use four pillars: - TEACH: tips, how-tos, myths - SHOW: your work, process, behind the s</t>
        </is>
      </c>
    </row>
    <row r="38">
      <c r="A38" s="7" t="n">
        <v>3</v>
      </c>
      <c r="B38" s="8">
        <f>$B$3+2</f>
        <v/>
      </c>
      <c r="C38" s="7">
        <f>TEXT(B38,"ddd")</f>
        <v/>
      </c>
      <c r="D38" s="7" t="inlineStr">
        <is>
          <t>21:00</t>
        </is>
      </c>
      <c r="E38" s="7" t="inlineStr">
        <is>
          <t>WhatsApp Status</t>
        </is>
      </c>
      <c r="F38" s="7" t="inlineStr">
        <is>
          <t>optional</t>
        </is>
      </c>
      <c r="G38" s="7" t="inlineStr">
        <is>
          <t>03 The 30-Day Content Engine</t>
        </is>
      </c>
      <c r="H38" s="7" t="inlineStr">
        <is>
          <t>Banner or price graphic</t>
        </is>
      </c>
      <c r="I38" s="7" t="inlineStr">
        <is>
          <t>O03_Banner.png</t>
        </is>
      </c>
      <c r="J38" s="9" t="inlineStr"/>
      <c r="K38" s="7" t="inlineStr">
        <is>
          <t>The 30-Day Content Engine. ₦5,000.  A realistic one-person content system: pillars, 60 post ideas, hook formulas and a 3</t>
        </is>
      </c>
    </row>
    <row r="39">
      <c r="A39" s="7" t="n">
        <v>4</v>
      </c>
      <c r="B39" s="8">
        <f>$B$3+3</f>
        <v/>
      </c>
      <c r="C39" s="7">
        <f>TEXT(B39,"ddd")</f>
        <v/>
      </c>
      <c r="D39" s="7" t="inlineStr">
        <is>
          <t>08:00</t>
        </is>
      </c>
      <c r="E39" s="7" t="inlineStr">
        <is>
          <t>Instagram + Facebook feed</t>
        </is>
      </c>
      <c r="F39" s="7" t="inlineStr">
        <is>
          <t>CORE</t>
        </is>
      </c>
      <c r="G39" s="7" t="inlineStr">
        <is>
          <t>04 The One-Offer Landing Page Kit</t>
        </is>
      </c>
      <c r="H39" s="7" t="inlineStr">
        <is>
          <t>Carousel or tip post</t>
        </is>
      </c>
      <c r="I39" s="7" t="inlineStr">
        <is>
          <t>O04_Carousel1_Slide1.png, O04_Carousel1_Slide2.png, O04_Carousel1_Slide3.png, O04_Carousel1_Slide4.png, O04_Carousel1_Slide5.png, O04_Carousel1_Slide6.png</t>
        </is>
      </c>
      <c r="J39" s="9" t="inlineStr"/>
      <c r="K39" s="7" t="inlineStr">
        <is>
          <t>Nine sections of a landing page  A simple order for one-offer pages.  One-Offer Landing Page Kit, ₦5,000. Message PAGE o</t>
        </is>
      </c>
    </row>
    <row r="40">
      <c r="A40" s="7" t="n">
        <v>4</v>
      </c>
      <c r="B40" s="8">
        <f>$B$3+3</f>
        <v/>
      </c>
      <c r="C40" s="7">
        <f>TEXT(B40,"ddd")</f>
        <v/>
      </c>
      <c r="D40" s="7" t="inlineStr">
        <is>
          <t>09:00</t>
        </is>
      </c>
      <c r="E40" s="7" t="inlineStr">
        <is>
          <t>WhatsApp Status</t>
        </is>
      </c>
      <c r="F40" s="7" t="inlineStr">
        <is>
          <t>optional</t>
        </is>
      </c>
      <c r="G40" s="7" t="inlineStr">
        <is>
          <t>04 The One-Offer Landing Page Kit</t>
        </is>
      </c>
      <c r="H40" s="7" t="inlineStr">
        <is>
          <t>Launch / promo post</t>
        </is>
      </c>
      <c r="I40" s="7" t="inlineStr">
        <is>
          <t>O04_Post02_Launch.png</t>
        </is>
      </c>
      <c r="J40" s="9" t="inlineStr"/>
      <c r="K40" s="7" t="inlineStr">
        <is>
          <t xml:space="preserve">New from Easywurld: The One-Offer Landing Page Kit.  Plan, write and launch a single-purpose page for one offer, with a </t>
        </is>
      </c>
    </row>
    <row r="41">
      <c r="A41" s="7" t="n">
        <v>4</v>
      </c>
      <c r="B41" s="8">
        <f>$B$3+3</f>
        <v/>
      </c>
      <c r="C41" s="7">
        <f>TEXT(B41,"ddd")</f>
        <v/>
      </c>
      <c r="D41" s="7" t="inlineStr">
        <is>
          <t>10:30</t>
        </is>
      </c>
      <c r="E41" s="7" t="inlineStr">
        <is>
          <t>Instagram Story</t>
        </is>
      </c>
      <c r="F41" s="7" t="inlineStr">
        <is>
          <t>optional</t>
        </is>
      </c>
      <c r="G41" s="7" t="inlineStr">
        <is>
          <t>04 The One-Offer Landing Page Kit</t>
        </is>
      </c>
      <c r="H41" s="7" t="inlineStr">
        <is>
          <t>New-offer story</t>
        </is>
      </c>
      <c r="I41" s="7" t="inlineStr">
        <is>
          <t>O04_Story1_New.png</t>
        </is>
      </c>
      <c r="J41" s="9" t="inlineStr"/>
      <c r="K41" s="7" t="inlineStr">
        <is>
          <t>New: The One-Offer Landing Page Kit. Tap, then message PAGE on WhatsApp. Sticker text suggestion: “Message PAGE” Link or</t>
        </is>
      </c>
    </row>
    <row r="42">
      <c r="A42" s="7" t="n">
        <v>4</v>
      </c>
      <c r="B42" s="8">
        <f>$B$3+3</f>
        <v/>
      </c>
      <c r="C42" s="7">
        <f>TEXT(B42,"ddd")</f>
        <v/>
      </c>
      <c r="D42" s="7" t="inlineStr">
        <is>
          <t>12:30</t>
        </is>
      </c>
      <c r="E42" s="7" t="inlineStr">
        <is>
          <t>Instagram Reel + Facebook video</t>
        </is>
      </c>
      <c r="F42" s="7" t="inlineStr">
        <is>
          <t>CORE</t>
        </is>
      </c>
      <c r="G42" s="7" t="inlineStr">
        <is>
          <t>04 The One-Offer Landing Page Kit</t>
        </is>
      </c>
      <c r="H42" s="7" t="inlineStr">
        <is>
          <t>Short video</t>
        </is>
      </c>
      <c r="I42" s="7" t="inlineStr">
        <is>
          <t>O04_Video1_One-offer-one-page.mp4</t>
        </is>
      </c>
      <c r="J42" s="9" t="inlineStr"/>
      <c r="K42" s="7" t="inlineStr">
        <is>
          <t>One offer, one page  Caption: Message PAGE on WhatsApp: 0905 069 0837 The One-Offer Landing Page Kit: ₦5,000. Do-it-your</t>
        </is>
      </c>
    </row>
    <row r="43">
      <c r="A43" s="7" t="n">
        <v>4</v>
      </c>
      <c r="B43" s="8">
        <f>$B$3+3</f>
        <v/>
      </c>
      <c r="C43" s="7">
        <f>TEXT(B43,"ddd")</f>
        <v/>
      </c>
      <c r="D43" s="7" t="inlineStr">
        <is>
          <t>13:30</t>
        </is>
      </c>
      <c r="E43" s="7" t="inlineStr">
        <is>
          <t>WhatsApp Status</t>
        </is>
      </c>
      <c r="F43" s="7" t="inlineStr">
        <is>
          <t>optional</t>
        </is>
      </c>
      <c r="G43" s="7" t="inlineStr">
        <is>
          <t>04 The One-Offer Landing Page Kit</t>
        </is>
      </c>
      <c r="H43" s="7" t="inlineStr">
        <is>
          <t>What is inside</t>
        </is>
      </c>
      <c r="I43" s="7" t="inlineStr">
        <is>
          <t>O04_Post05_Value.png</t>
        </is>
      </c>
      <c r="J43" s="9" t="inlineStr"/>
      <c r="K43" s="7" t="inlineStr">
        <is>
          <t>What is inside the The One-Offer Landing Page Kit, and what we estimate it would cost to produce.  - One-Offer Landing P</t>
        </is>
      </c>
    </row>
    <row r="44">
      <c r="A44" s="7" t="n">
        <v>4</v>
      </c>
      <c r="B44" s="8">
        <f>$B$3+3</f>
        <v/>
      </c>
      <c r="C44" s="7">
        <f>TEXT(B44,"ddd")</f>
        <v/>
      </c>
      <c r="D44" s="7" t="inlineStr">
        <is>
          <t>15:00</t>
        </is>
      </c>
      <c r="E44" s="7" t="inlineStr">
        <is>
          <t>Facebook feed</t>
        </is>
      </c>
      <c r="F44" s="7" t="inlineStr">
        <is>
          <t>CORE</t>
        </is>
      </c>
      <c r="G44" s="7" t="inlineStr">
        <is>
          <t>04 The One-Offer Landing Page Kit</t>
        </is>
      </c>
      <c r="H44" s="7" t="inlineStr">
        <is>
          <t>Honest-answer (objection) post</t>
        </is>
      </c>
      <c r="I44" s="7" t="inlineStr">
        <is>
          <t>O04_Post03_Honest-answer.png</t>
        </is>
      </c>
      <c r="J44" s="9" t="inlineStr"/>
      <c r="K44" s="7" t="inlineStr">
        <is>
          <t>Not to get started. The HTML starter has comments on every section. You change the words, and change the colours in five</t>
        </is>
      </c>
    </row>
    <row r="45">
      <c r="A45" s="7" t="n">
        <v>4</v>
      </c>
      <c r="B45" s="8">
        <f>$B$3+3</f>
        <v/>
      </c>
      <c r="C45" s="7">
        <f>TEXT(B45,"ddd")</f>
        <v/>
      </c>
      <c r="D45" s="7" t="inlineStr">
        <is>
          <t>16:00</t>
        </is>
      </c>
      <c r="E45" s="7" t="inlineStr">
        <is>
          <t>Instagram Story</t>
        </is>
      </c>
      <c r="F45" s="7" t="inlineStr">
        <is>
          <t>optional</t>
        </is>
      </c>
      <c r="G45" s="7" t="inlineStr">
        <is>
          <t>04 The One-Offer Landing Page Kit</t>
        </is>
      </c>
      <c r="H45" s="7" t="inlineStr">
        <is>
          <t>Price story</t>
        </is>
      </c>
      <c r="I45" s="7" t="inlineStr">
        <is>
          <t>O04_Story2_Price.png</t>
        </is>
      </c>
      <c r="J45" s="9" t="inlineStr"/>
      <c r="K45" s="7" t="inlineStr">
        <is>
          <t>The One-Offer Landing Page Kit: ₦5,000. Estimated replacement cost of what is inside: ₦32,500 (our estimate, not a previ</t>
        </is>
      </c>
    </row>
    <row r="46">
      <c r="A46" s="7" t="n">
        <v>4</v>
      </c>
      <c r="B46" s="8">
        <f>$B$3+3</f>
        <v/>
      </c>
      <c r="C46" s="7">
        <f>TEXT(B46,"ddd")</f>
        <v/>
      </c>
      <c r="D46" s="7" t="inlineStr">
        <is>
          <t>17:00</t>
        </is>
      </c>
      <c r="E46" s="7" t="inlineStr">
        <is>
          <t>WhatsApp Status</t>
        </is>
      </c>
      <c r="F46" s="7" t="inlineStr">
        <is>
          <t>CORE</t>
        </is>
      </c>
      <c r="G46" s="7" t="inlineStr">
        <is>
          <t>04 The One-Offer Landing Page Kit</t>
        </is>
      </c>
      <c r="H46" s="7" t="inlineStr">
        <is>
          <t>Direct-response post</t>
        </is>
      </c>
      <c r="I46" s="7" t="inlineStr">
        <is>
          <t>O04_Post06_Order.png</t>
        </is>
      </c>
      <c r="J46" s="9" t="inlineStr"/>
      <c r="K46" s="7" t="inlineStr">
        <is>
          <t>Want the The One-Offer Landing Page Kit?  Send the word PAGE on WhatsApp (0905 069 0837) and we will reply with how to p</t>
        </is>
      </c>
    </row>
    <row r="47">
      <c r="A47" s="7" t="n">
        <v>4</v>
      </c>
      <c r="B47" s="8">
        <f>$B$3+3</f>
        <v/>
      </c>
      <c r="C47" s="7">
        <f>TEXT(B47,"ddd")</f>
        <v/>
      </c>
      <c r="D47" s="7" t="inlineStr">
        <is>
          <t>18:30</t>
        </is>
      </c>
      <c r="E47" s="7" t="inlineStr">
        <is>
          <t>LinkedIn</t>
        </is>
      </c>
      <c r="F47" s="7" t="inlineStr">
        <is>
          <t>optional</t>
        </is>
      </c>
      <c r="G47" s="7" t="inlineStr">
        <is>
          <t>04 The One-Offer Landing Page Kit</t>
        </is>
      </c>
      <c r="H47" s="7" t="inlineStr">
        <is>
          <t>Text post (no media needed)</t>
        </is>
      </c>
      <c r="I47" s="7" t="inlineStr">
        <is>
          <t>O04_LinkedIn1.txt</t>
        </is>
      </c>
      <c r="J47" s="9" t="inlineStr"/>
      <c r="K47" s="7" t="inlineStr">
        <is>
          <t xml:space="preserve">If you are launching one thing, a workshop, a product, a booking, you probably do not need a website. You need a page.  </t>
        </is>
      </c>
    </row>
    <row r="48">
      <c r="A48" s="7" t="n">
        <v>4</v>
      </c>
      <c r="B48" s="8">
        <f>$B$3+3</f>
        <v/>
      </c>
      <c r="C48" s="7">
        <f>TEXT(B48,"ddd")</f>
        <v/>
      </c>
      <c r="D48" s="7" t="inlineStr">
        <is>
          <t>20:00</t>
        </is>
      </c>
      <c r="E48" s="7" t="inlineStr">
        <is>
          <t>Instagram + Facebook feed</t>
        </is>
      </c>
      <c r="F48" s="7" t="inlineStr">
        <is>
          <t>optional</t>
        </is>
      </c>
      <c r="G48" s="7" t="inlineStr">
        <is>
          <t>04 The One-Offer Landing Page Kit</t>
        </is>
      </c>
      <c r="H48" s="7" t="inlineStr">
        <is>
          <t>Second feed post</t>
        </is>
      </c>
      <c r="I48" s="7" t="inlineStr">
        <is>
          <t>O04_Post01_Tip.png</t>
        </is>
      </c>
      <c r="J48" s="9" t="inlineStr"/>
      <c r="K48" s="7" t="inlineStr">
        <is>
          <t>A homepage tries to say everything. A landing page says one thing to one person.  One offer. One audience. One action (W</t>
        </is>
      </c>
    </row>
    <row r="49">
      <c r="A49" s="7" t="n">
        <v>4</v>
      </c>
      <c r="B49" s="8">
        <f>$B$3+3</f>
        <v/>
      </c>
      <c r="C49" s="7">
        <f>TEXT(B49,"ddd")</f>
        <v/>
      </c>
      <c r="D49" s="7" t="inlineStr">
        <is>
          <t>21:00</t>
        </is>
      </c>
      <c r="E49" s="7" t="inlineStr">
        <is>
          <t>WhatsApp Status</t>
        </is>
      </c>
      <c r="F49" s="7" t="inlineStr">
        <is>
          <t>optional</t>
        </is>
      </c>
      <c r="G49" s="7" t="inlineStr">
        <is>
          <t>04 The One-Offer Landing Page Kit</t>
        </is>
      </c>
      <c r="H49" s="7" t="inlineStr">
        <is>
          <t>Banner or price graphic</t>
        </is>
      </c>
      <c r="I49" s="7" t="inlineStr">
        <is>
          <t>O04_Banner.png</t>
        </is>
      </c>
      <c r="J49" s="9" t="inlineStr"/>
      <c r="K49" s="7" t="inlineStr">
        <is>
          <t>The One-Offer Landing Page Kit. ₦5,000.  Plan, write and launch a single-purpose page for one offer, with a fill-in copy</t>
        </is>
      </c>
    </row>
    <row r="50">
      <c r="A50" s="7" t="n">
        <v>5</v>
      </c>
      <c r="B50" s="8">
        <f>$B$3+4</f>
        <v/>
      </c>
      <c r="C50" s="7">
        <f>TEXT(B50,"ddd")</f>
        <v/>
      </c>
      <c r="D50" s="7" t="inlineStr">
        <is>
          <t>08:00</t>
        </is>
      </c>
      <c r="E50" s="7" t="inlineStr">
        <is>
          <t>Instagram + Facebook feed</t>
        </is>
      </c>
      <c r="F50" s="7" t="inlineStr">
        <is>
          <t>CORE</t>
        </is>
      </c>
      <c r="G50" s="7" t="inlineStr">
        <is>
          <t>05 The Lagos Local Visibility Starter</t>
        </is>
      </c>
      <c r="H50" s="7" t="inlineStr">
        <is>
          <t>Carousel or tip post</t>
        </is>
      </c>
      <c r="I50" s="7" t="inlineStr">
        <is>
          <t>O05_Carousel1_Slide1.png, O05_Carousel1_Slide2.png, O05_Carousel1_Slide3.png, O05_Carousel1_Slide4.png, O05_Carousel1_Slide5.png, O05_Carousel1_Slide6.png</t>
        </is>
      </c>
      <c r="J50" s="9" t="inlineStr"/>
      <c r="K50" s="7" t="inlineStr">
        <is>
          <t>Local search in plain words  How people find a business near them.  Lagos Local Visibility Starter, ₦5,000. Message LOCA</t>
        </is>
      </c>
    </row>
    <row r="51">
      <c r="A51" s="7" t="n">
        <v>5</v>
      </c>
      <c r="B51" s="8">
        <f>$B$3+4</f>
        <v/>
      </c>
      <c r="C51" s="7">
        <f>TEXT(B51,"ddd")</f>
        <v/>
      </c>
      <c r="D51" s="7" t="inlineStr">
        <is>
          <t>09:00</t>
        </is>
      </c>
      <c r="E51" s="7" t="inlineStr">
        <is>
          <t>WhatsApp Status</t>
        </is>
      </c>
      <c r="F51" s="7" t="inlineStr">
        <is>
          <t>optional</t>
        </is>
      </c>
      <c r="G51" s="7" t="inlineStr">
        <is>
          <t>05 The Lagos Local Visibility Starter</t>
        </is>
      </c>
      <c r="H51" s="7" t="inlineStr">
        <is>
          <t>Launch / promo post</t>
        </is>
      </c>
      <c r="I51" s="7" t="inlineStr">
        <is>
          <t>O05_Post02_Launch.png</t>
        </is>
      </c>
      <c r="J51" s="9" t="inlineStr"/>
      <c r="K51" s="7" t="inlineStr">
        <is>
          <t>New from Easywurld: The Lagos Local Visibility Starter.  A 30-day local search starter: set up your Google Business Prof</t>
        </is>
      </c>
    </row>
    <row r="52">
      <c r="A52" s="7" t="n">
        <v>5</v>
      </c>
      <c r="B52" s="8">
        <f>$B$3+4</f>
        <v/>
      </c>
      <c r="C52" s="7">
        <f>TEXT(B52,"ddd")</f>
        <v/>
      </c>
      <c r="D52" s="7" t="inlineStr">
        <is>
          <t>10:30</t>
        </is>
      </c>
      <c r="E52" s="7" t="inlineStr">
        <is>
          <t>Instagram Story</t>
        </is>
      </c>
      <c r="F52" s="7" t="inlineStr">
        <is>
          <t>optional</t>
        </is>
      </c>
      <c r="G52" s="7" t="inlineStr">
        <is>
          <t>05 The Lagos Local Visibility Starter</t>
        </is>
      </c>
      <c r="H52" s="7" t="inlineStr">
        <is>
          <t>New-offer story</t>
        </is>
      </c>
      <c r="I52" s="7" t="inlineStr">
        <is>
          <t>O05_Story1_New.png</t>
        </is>
      </c>
      <c r="J52" s="9" t="inlineStr"/>
      <c r="K52" s="7" t="inlineStr">
        <is>
          <t>New: The Lagos Local Visibility Starter. Tap, then message LOCAL on WhatsApp. Sticker text suggestion: “Message LOCAL” L</t>
        </is>
      </c>
    </row>
    <row r="53">
      <c r="A53" s="7" t="n">
        <v>5</v>
      </c>
      <c r="B53" s="8">
        <f>$B$3+4</f>
        <v/>
      </c>
      <c r="C53" s="7">
        <f>TEXT(B53,"ddd")</f>
        <v/>
      </c>
      <c r="D53" s="7" t="inlineStr">
        <is>
          <t>12:30</t>
        </is>
      </c>
      <c r="E53" s="7" t="inlineStr">
        <is>
          <t>Instagram Reel + Facebook video</t>
        </is>
      </c>
      <c r="F53" s="7" t="inlineStr">
        <is>
          <t>CORE</t>
        </is>
      </c>
      <c r="G53" s="7" t="inlineStr">
        <is>
          <t>05 The Lagos Local Visibility Starter</t>
        </is>
      </c>
      <c r="H53" s="7" t="inlineStr">
        <is>
          <t>Short video</t>
        </is>
      </c>
      <c r="I53" s="7" t="inlineStr">
        <is>
          <t>O05_Video1_Search-yourself.mp4</t>
        </is>
      </c>
      <c r="J53" s="9" t="inlineStr"/>
      <c r="K53" s="7" t="inlineStr">
        <is>
          <t>Search yourself  Caption: Message LOCAL on WhatsApp: 0905 069 0837 The Lagos Local Visibility Starter: ₦5,000. Do-it-you</t>
        </is>
      </c>
    </row>
    <row r="54">
      <c r="A54" s="7" t="n">
        <v>5</v>
      </c>
      <c r="B54" s="8">
        <f>$B$3+4</f>
        <v/>
      </c>
      <c r="C54" s="7">
        <f>TEXT(B54,"ddd")</f>
        <v/>
      </c>
      <c r="D54" s="7" t="inlineStr">
        <is>
          <t>13:30</t>
        </is>
      </c>
      <c r="E54" s="7" t="inlineStr">
        <is>
          <t>WhatsApp Status</t>
        </is>
      </c>
      <c r="F54" s="7" t="inlineStr">
        <is>
          <t>optional</t>
        </is>
      </c>
      <c r="G54" s="7" t="inlineStr">
        <is>
          <t>05 The Lagos Local Visibility Starter</t>
        </is>
      </c>
      <c r="H54" s="7" t="inlineStr">
        <is>
          <t>What is inside</t>
        </is>
      </c>
      <c r="I54" s="7" t="inlineStr">
        <is>
          <t>O05_Post05_Value.png</t>
        </is>
      </c>
      <c r="J54" s="9" t="inlineStr"/>
      <c r="K54" s="7" t="inlineStr">
        <is>
          <t>What is inside the The Lagos Local Visibility Starter, and what we estimate it would cost to produce.  - Local Visibilit</t>
        </is>
      </c>
    </row>
    <row r="55">
      <c r="A55" s="7" t="n">
        <v>5</v>
      </c>
      <c r="B55" s="8">
        <f>$B$3+4</f>
        <v/>
      </c>
      <c r="C55" s="7">
        <f>TEXT(B55,"ddd")</f>
        <v/>
      </c>
      <c r="D55" s="7" t="inlineStr">
        <is>
          <t>15:00</t>
        </is>
      </c>
      <c r="E55" s="7" t="inlineStr">
        <is>
          <t>Facebook feed</t>
        </is>
      </c>
      <c r="F55" s="7" t="inlineStr">
        <is>
          <t>CORE</t>
        </is>
      </c>
      <c r="G55" s="7" t="inlineStr">
        <is>
          <t>05 The Lagos Local Visibility Starter</t>
        </is>
      </c>
      <c r="H55" s="7" t="inlineStr">
        <is>
          <t>Honest-answer (objection) post</t>
        </is>
      </c>
      <c r="I55" s="7" t="inlineStr">
        <is>
          <t>O05_Post03_Honest-answer.png</t>
        </is>
      </c>
      <c r="J55" s="9" t="inlineStr"/>
      <c r="K55" s="7" t="inlineStr">
        <is>
          <t xml:space="preserve">Honest answer: no one can promise ranking, and be careful of anyone who does.  The Lagos Local Visibility Starter helps </t>
        </is>
      </c>
    </row>
    <row r="56">
      <c r="A56" s="7" t="n">
        <v>5</v>
      </c>
      <c r="B56" s="8">
        <f>$B$3+4</f>
        <v/>
      </c>
      <c r="C56" s="7">
        <f>TEXT(B56,"ddd")</f>
        <v/>
      </c>
      <c r="D56" s="7" t="inlineStr">
        <is>
          <t>16:00</t>
        </is>
      </c>
      <c r="E56" s="7" t="inlineStr">
        <is>
          <t>Instagram Story</t>
        </is>
      </c>
      <c r="F56" s="7" t="inlineStr">
        <is>
          <t>optional</t>
        </is>
      </c>
      <c r="G56" s="7" t="inlineStr">
        <is>
          <t>05 The Lagos Local Visibility Starter</t>
        </is>
      </c>
      <c r="H56" s="7" t="inlineStr">
        <is>
          <t>Price story</t>
        </is>
      </c>
      <c r="I56" s="7" t="inlineStr">
        <is>
          <t>O05_Story2_Price.png</t>
        </is>
      </c>
      <c r="J56" s="9" t="inlineStr"/>
      <c r="K56" s="7" t="inlineStr">
        <is>
          <t>The Lagos Local Visibility Starter: ₦5,000. Estimated replacement cost of what is inside: ₦32,500 (our estimate, not a p</t>
        </is>
      </c>
    </row>
    <row r="57">
      <c r="A57" s="7" t="n">
        <v>5</v>
      </c>
      <c r="B57" s="8">
        <f>$B$3+4</f>
        <v/>
      </c>
      <c r="C57" s="7">
        <f>TEXT(B57,"ddd")</f>
        <v/>
      </c>
      <c r="D57" s="7" t="inlineStr">
        <is>
          <t>17:00</t>
        </is>
      </c>
      <c r="E57" s="7" t="inlineStr">
        <is>
          <t>WhatsApp Status</t>
        </is>
      </c>
      <c r="F57" s="7" t="inlineStr">
        <is>
          <t>CORE</t>
        </is>
      </c>
      <c r="G57" s="7" t="inlineStr">
        <is>
          <t>05 The Lagos Local Visibility Starter</t>
        </is>
      </c>
      <c r="H57" s="7" t="inlineStr">
        <is>
          <t>Direct-response post</t>
        </is>
      </c>
      <c r="I57" s="7" t="inlineStr">
        <is>
          <t>O05_Post06_Order.png</t>
        </is>
      </c>
      <c r="J57" s="9" t="inlineStr"/>
      <c r="K57" s="7" t="inlineStr">
        <is>
          <t>Want the The Lagos Local Visibility Starter?  Send the word LOCAL on WhatsApp (0905 069 0837) and we will reply with how</t>
        </is>
      </c>
    </row>
    <row r="58">
      <c r="A58" s="7" t="n">
        <v>5</v>
      </c>
      <c r="B58" s="8">
        <f>$B$3+4</f>
        <v/>
      </c>
      <c r="C58" s="7">
        <f>TEXT(B58,"ddd")</f>
        <v/>
      </c>
      <c r="D58" s="7" t="inlineStr">
        <is>
          <t>18:30</t>
        </is>
      </c>
      <c r="E58" s="7" t="inlineStr">
        <is>
          <t>LinkedIn</t>
        </is>
      </c>
      <c r="F58" s="7" t="inlineStr">
        <is>
          <t>optional</t>
        </is>
      </c>
      <c r="G58" s="7" t="inlineStr">
        <is>
          <t>05 The Lagos Local Visibility Starter</t>
        </is>
      </c>
      <c r="H58" s="7" t="inlineStr">
        <is>
          <t>Text post (no media needed)</t>
        </is>
      </c>
      <c r="I58" s="7" t="inlineStr">
        <is>
          <t>O05_LinkedIn1.txt</t>
        </is>
      </c>
      <c r="J58" s="9" t="inlineStr"/>
      <c r="K58" s="7" t="inlineStr">
        <is>
          <t>When someone in Lagos needs a tailor, a plumber or a caterer, many of them start by searching on their phone.  What they</t>
        </is>
      </c>
    </row>
    <row r="59">
      <c r="A59" s="7" t="n">
        <v>5</v>
      </c>
      <c r="B59" s="8">
        <f>$B$3+4</f>
        <v/>
      </c>
      <c r="C59" s="7">
        <f>TEXT(B59,"ddd")</f>
        <v/>
      </c>
      <c r="D59" s="7" t="inlineStr">
        <is>
          <t>20:00</t>
        </is>
      </c>
      <c r="E59" s="7" t="inlineStr">
        <is>
          <t>Instagram + Facebook feed</t>
        </is>
      </c>
      <c r="F59" s="7" t="inlineStr">
        <is>
          <t>optional</t>
        </is>
      </c>
      <c r="G59" s="7" t="inlineStr">
        <is>
          <t>05 The Lagos Local Visibility Starter</t>
        </is>
      </c>
      <c r="H59" s="7" t="inlineStr">
        <is>
          <t>Second feed post</t>
        </is>
      </c>
      <c r="I59" s="7" t="inlineStr">
        <is>
          <t>O05_Post01_Tip.png</t>
        </is>
      </c>
      <c r="J59" s="9" t="inlineStr"/>
      <c r="K59" s="7" t="inlineStr">
        <is>
          <t xml:space="preserve">Open Google on your phone. Search your business name. Then search what you sell plus your area, like “hair salon Yaba”. </t>
        </is>
      </c>
    </row>
    <row r="60">
      <c r="A60" s="7" t="n">
        <v>5</v>
      </c>
      <c r="B60" s="8">
        <f>$B$3+4</f>
        <v/>
      </c>
      <c r="C60" s="7">
        <f>TEXT(B60,"ddd")</f>
        <v/>
      </c>
      <c r="D60" s="7" t="inlineStr">
        <is>
          <t>21:00</t>
        </is>
      </c>
      <c r="E60" s="7" t="inlineStr">
        <is>
          <t>WhatsApp Status</t>
        </is>
      </c>
      <c r="F60" s="7" t="inlineStr">
        <is>
          <t>optional</t>
        </is>
      </c>
      <c r="G60" s="7" t="inlineStr">
        <is>
          <t>05 The Lagos Local Visibility Starter</t>
        </is>
      </c>
      <c r="H60" s="7" t="inlineStr">
        <is>
          <t>Banner or price graphic</t>
        </is>
      </c>
      <c r="I60" s="7" t="inlineStr">
        <is>
          <t>O05_Banner.png</t>
        </is>
      </c>
      <c r="J60" s="9" t="inlineStr"/>
      <c r="K60" s="7" t="inlineStr">
        <is>
          <t>The Lagos Local Visibility Starter. ₦5,000.  A 30-day local search starter: set up your Google Business Profile, fix you</t>
        </is>
      </c>
    </row>
    <row r="61">
      <c r="A61" s="7" t="n">
        <v>6</v>
      </c>
      <c r="B61" s="8">
        <f>$B$3+5</f>
        <v/>
      </c>
      <c r="C61" s="7">
        <f>TEXT(B61,"ddd")</f>
        <v/>
      </c>
      <c r="D61" s="7" t="inlineStr">
        <is>
          <t>08:00</t>
        </is>
      </c>
      <c r="E61" s="7" t="inlineStr">
        <is>
          <t>Instagram + Facebook feed</t>
        </is>
      </c>
      <c r="F61" s="7" t="inlineStr">
        <is>
          <t>CORE</t>
        </is>
      </c>
      <c r="G61" s="7" t="inlineStr">
        <is>
          <t>06 The Clear Message Workbook</t>
        </is>
      </c>
      <c r="H61" s="7" t="inlineStr">
        <is>
          <t>Carousel or tip post</t>
        </is>
      </c>
      <c r="I61" s="7" t="inlineStr">
        <is>
          <t>O06_Carousel1_Slide1.png, O06_Carousel1_Slide2.png, O06_Carousel1_Slide3.png, O06_Carousel1_Slide4.png, O06_Carousel1_Slide5.png, O06_Carousel1_Slide6.png</t>
        </is>
      </c>
      <c r="J61" s="9" t="inlineStr"/>
      <c r="K61" s="7" t="inlineStr">
        <is>
          <t>The one-sentence message  A simple fill-in for what you do.  Clear Message Workbook, ₦5,000. Message MESSAGE on WhatsApp</t>
        </is>
      </c>
    </row>
    <row r="62">
      <c r="A62" s="7" t="n">
        <v>6</v>
      </c>
      <c r="B62" s="8">
        <f>$B$3+5</f>
        <v/>
      </c>
      <c r="C62" s="7">
        <f>TEXT(B62,"ddd")</f>
        <v/>
      </c>
      <c r="D62" s="7" t="inlineStr">
        <is>
          <t>09:00</t>
        </is>
      </c>
      <c r="E62" s="7" t="inlineStr">
        <is>
          <t>WhatsApp Status</t>
        </is>
      </c>
      <c r="F62" s="7" t="inlineStr">
        <is>
          <t>optional</t>
        </is>
      </c>
      <c r="G62" s="7" t="inlineStr">
        <is>
          <t>06 The Clear Message Workbook</t>
        </is>
      </c>
      <c r="H62" s="7" t="inlineStr">
        <is>
          <t>Launch / promo post</t>
        </is>
      </c>
      <c r="I62" s="7" t="inlineStr">
        <is>
          <t>O06_Post02_Launch.png</t>
        </is>
      </c>
      <c r="J62" s="9" t="inlineStr"/>
      <c r="K62" s="7" t="inlineStr">
        <is>
          <t>New from Easywurld: The Clear Message Workbook.  Work out who you serve, what makes you different and how to say it in o</t>
        </is>
      </c>
    </row>
    <row r="63">
      <c r="A63" s="7" t="n">
        <v>6</v>
      </c>
      <c r="B63" s="8">
        <f>$B$3+5</f>
        <v/>
      </c>
      <c r="C63" s="7">
        <f>TEXT(B63,"ddd")</f>
        <v/>
      </c>
      <c r="D63" s="7" t="inlineStr">
        <is>
          <t>10:30</t>
        </is>
      </c>
      <c r="E63" s="7" t="inlineStr">
        <is>
          <t>Instagram Story</t>
        </is>
      </c>
      <c r="F63" s="7" t="inlineStr">
        <is>
          <t>optional</t>
        </is>
      </c>
      <c r="G63" s="7" t="inlineStr">
        <is>
          <t>06 The Clear Message Workbook</t>
        </is>
      </c>
      <c r="H63" s="7" t="inlineStr">
        <is>
          <t>New-offer story</t>
        </is>
      </c>
      <c r="I63" s="7" t="inlineStr">
        <is>
          <t>O06_Story1_New.png</t>
        </is>
      </c>
      <c r="J63" s="9" t="inlineStr"/>
      <c r="K63" s="7" t="inlineStr">
        <is>
          <t xml:space="preserve">New: The Clear Message Workbook. Tap, then message MESSAGE on WhatsApp. Sticker text suggestion: “Message MESSAGE” Link </t>
        </is>
      </c>
    </row>
    <row r="64">
      <c r="A64" s="7" t="n">
        <v>6</v>
      </c>
      <c r="B64" s="8">
        <f>$B$3+5</f>
        <v/>
      </c>
      <c r="C64" s="7">
        <f>TEXT(B64,"ddd")</f>
        <v/>
      </c>
      <c r="D64" s="7" t="inlineStr">
        <is>
          <t>12:30</t>
        </is>
      </c>
      <c r="E64" s="7" t="inlineStr">
        <is>
          <t>Instagram Reel + Facebook video</t>
        </is>
      </c>
      <c r="F64" s="7" t="inlineStr">
        <is>
          <t>CORE</t>
        </is>
      </c>
      <c r="G64" s="7" t="inlineStr">
        <is>
          <t>06 The Clear Message Workbook</t>
        </is>
      </c>
      <c r="H64" s="7" t="inlineStr">
        <is>
          <t>Short video</t>
        </is>
      </c>
      <c r="I64" s="7" t="inlineStr">
        <is>
          <t>O06_Video1_One-sentence.mp4</t>
        </is>
      </c>
      <c r="J64" s="9" t="inlineStr"/>
      <c r="K64" s="7" t="inlineStr">
        <is>
          <t>One sentence  Caption: Message MESSAGE on WhatsApp: 0905 069 0837 The Clear Message Workbook: ₦5,000. Do-it-yourself, no</t>
        </is>
      </c>
    </row>
    <row r="65">
      <c r="A65" s="7" t="n">
        <v>6</v>
      </c>
      <c r="B65" s="8">
        <f>$B$3+5</f>
        <v/>
      </c>
      <c r="C65" s="7">
        <f>TEXT(B65,"ddd")</f>
        <v/>
      </c>
      <c r="D65" s="7" t="inlineStr">
        <is>
          <t>13:30</t>
        </is>
      </c>
      <c r="E65" s="7" t="inlineStr">
        <is>
          <t>WhatsApp Status</t>
        </is>
      </c>
      <c r="F65" s="7" t="inlineStr">
        <is>
          <t>optional</t>
        </is>
      </c>
      <c r="G65" s="7" t="inlineStr">
        <is>
          <t>06 The Clear Message Workbook</t>
        </is>
      </c>
      <c r="H65" s="7" t="inlineStr">
        <is>
          <t>What is inside</t>
        </is>
      </c>
      <c r="I65" s="7" t="inlineStr">
        <is>
          <t>O06_Post05_Value.png</t>
        </is>
      </c>
      <c r="J65" s="9" t="inlineStr"/>
      <c r="K65" s="7" t="inlineStr">
        <is>
          <t>What is inside the The Clear Message Workbook, and what we estimate it would cost to produce.  - Clear Message Workbook:</t>
        </is>
      </c>
    </row>
    <row r="66">
      <c r="A66" s="7" t="n">
        <v>6</v>
      </c>
      <c r="B66" s="8">
        <f>$B$3+5</f>
        <v/>
      </c>
      <c r="C66" s="7">
        <f>TEXT(B66,"ddd")</f>
        <v/>
      </c>
      <c r="D66" s="7" t="inlineStr">
        <is>
          <t>15:00</t>
        </is>
      </c>
      <c r="E66" s="7" t="inlineStr">
        <is>
          <t>Facebook feed</t>
        </is>
      </c>
      <c r="F66" s="7" t="inlineStr">
        <is>
          <t>CORE</t>
        </is>
      </c>
      <c r="G66" s="7" t="inlineStr">
        <is>
          <t>06 The Clear Message Workbook</t>
        </is>
      </c>
      <c r="H66" s="7" t="inlineStr">
        <is>
          <t>Honest-answer (objection) post</t>
        </is>
      </c>
      <c r="I66" s="7" t="inlineStr">
        <is>
          <t>O06_Post03_Honest-answer.png</t>
        </is>
      </c>
      <c r="J66" s="9" t="inlineStr"/>
      <c r="K66" s="7" t="inlineStr">
        <is>
          <t>Honest answer: no. The Clear Message Workbook is self-guided. It does not include a consultation or a review of your ans</t>
        </is>
      </c>
    </row>
    <row r="67">
      <c r="A67" s="7" t="n">
        <v>6</v>
      </c>
      <c r="B67" s="8">
        <f>$B$3+5</f>
        <v/>
      </c>
      <c r="C67" s="7">
        <f>TEXT(B67,"ddd")</f>
        <v/>
      </c>
      <c r="D67" s="7" t="inlineStr">
        <is>
          <t>16:00</t>
        </is>
      </c>
      <c r="E67" s="7" t="inlineStr">
        <is>
          <t>Instagram Story</t>
        </is>
      </c>
      <c r="F67" s="7" t="inlineStr">
        <is>
          <t>optional</t>
        </is>
      </c>
      <c r="G67" s="7" t="inlineStr">
        <is>
          <t>06 The Clear Message Workbook</t>
        </is>
      </c>
      <c r="H67" s="7" t="inlineStr">
        <is>
          <t>Price story</t>
        </is>
      </c>
      <c r="I67" s="7" t="inlineStr">
        <is>
          <t>O06_Story2_Price.png</t>
        </is>
      </c>
      <c r="J67" s="9" t="inlineStr"/>
      <c r="K67" s="7" t="inlineStr">
        <is>
          <t xml:space="preserve">The Clear Message Workbook: ₦5,000. Estimated replacement cost of what is inside: ₦32,500 (our estimate, not a previous </t>
        </is>
      </c>
    </row>
    <row r="68">
      <c r="A68" s="7" t="n">
        <v>6</v>
      </c>
      <c r="B68" s="8">
        <f>$B$3+5</f>
        <v/>
      </c>
      <c r="C68" s="7">
        <f>TEXT(B68,"ddd")</f>
        <v/>
      </c>
      <c r="D68" s="7" t="inlineStr">
        <is>
          <t>17:00</t>
        </is>
      </c>
      <c r="E68" s="7" t="inlineStr">
        <is>
          <t>WhatsApp Status</t>
        </is>
      </c>
      <c r="F68" s="7" t="inlineStr">
        <is>
          <t>CORE</t>
        </is>
      </c>
      <c r="G68" s="7" t="inlineStr">
        <is>
          <t>06 The Clear Message Workbook</t>
        </is>
      </c>
      <c r="H68" s="7" t="inlineStr">
        <is>
          <t>Direct-response post</t>
        </is>
      </c>
      <c r="I68" s="7" t="inlineStr">
        <is>
          <t>O06_Post06_Order.png</t>
        </is>
      </c>
      <c r="J68" s="9" t="inlineStr"/>
      <c r="K68" s="7" t="inlineStr">
        <is>
          <t>Want the The Clear Message Workbook?  Send the word MESSAGE on WhatsApp (0905 069 0837) and we will reply with how to pa</t>
        </is>
      </c>
    </row>
    <row r="69">
      <c r="A69" s="7" t="n">
        <v>6</v>
      </c>
      <c r="B69" s="8">
        <f>$B$3+5</f>
        <v/>
      </c>
      <c r="C69" s="7">
        <f>TEXT(B69,"ddd")</f>
        <v/>
      </c>
      <c r="D69" s="7" t="inlineStr">
        <is>
          <t>18:30</t>
        </is>
      </c>
      <c r="E69" s="7" t="inlineStr">
        <is>
          <t>LinkedIn</t>
        </is>
      </c>
      <c r="F69" s="7" t="inlineStr">
        <is>
          <t>optional</t>
        </is>
      </c>
      <c r="G69" s="7" t="inlineStr">
        <is>
          <t>06 The Clear Message Workbook</t>
        </is>
      </c>
      <c r="H69" s="7" t="inlineStr">
        <is>
          <t>Text post (no media needed)</t>
        </is>
      </c>
      <c r="I69" s="7" t="inlineStr">
        <is>
          <t>O06_LinkedIn1.txt</t>
        </is>
      </c>
      <c r="J69" s="9" t="inlineStr"/>
      <c r="K69" s="7" t="inlineStr">
        <is>
          <t>Most marketing problems in small businesses are message problems in disguise.  The website is fine, the posts go out, an</t>
        </is>
      </c>
    </row>
    <row r="70">
      <c r="A70" s="7" t="n">
        <v>6</v>
      </c>
      <c r="B70" s="8">
        <f>$B$3+5</f>
        <v/>
      </c>
      <c r="C70" s="7">
        <f>TEXT(B70,"ddd")</f>
        <v/>
      </c>
      <c r="D70" s="7" t="inlineStr">
        <is>
          <t>20:00</t>
        </is>
      </c>
      <c r="E70" s="7" t="inlineStr">
        <is>
          <t>Instagram + Facebook feed</t>
        </is>
      </c>
      <c r="F70" s="7" t="inlineStr">
        <is>
          <t>optional</t>
        </is>
      </c>
      <c r="G70" s="7" t="inlineStr">
        <is>
          <t>06 The Clear Message Workbook</t>
        </is>
      </c>
      <c r="H70" s="7" t="inlineStr">
        <is>
          <t>Second feed post</t>
        </is>
      </c>
      <c r="I70" s="7" t="inlineStr">
        <is>
          <t>O06_Post01_Tip.png</t>
        </is>
      </c>
      <c r="J70" s="9" t="inlineStr"/>
      <c r="K70" s="7" t="inlineStr">
        <is>
          <t>Try this:  “I help [who] to [get what] by [how], without [pain].”  Example (fictional): “I help Lagos home cooks to sell</t>
        </is>
      </c>
    </row>
    <row r="71">
      <c r="A71" s="7" t="n">
        <v>6</v>
      </c>
      <c r="B71" s="8">
        <f>$B$3+5</f>
        <v/>
      </c>
      <c r="C71" s="7">
        <f>TEXT(B71,"ddd")</f>
        <v/>
      </c>
      <c r="D71" s="7" t="inlineStr">
        <is>
          <t>21:00</t>
        </is>
      </c>
      <c r="E71" s="7" t="inlineStr">
        <is>
          <t>WhatsApp Status</t>
        </is>
      </c>
      <c r="F71" s="7" t="inlineStr">
        <is>
          <t>optional</t>
        </is>
      </c>
      <c r="G71" s="7" t="inlineStr">
        <is>
          <t>06 The Clear Message Workbook</t>
        </is>
      </c>
      <c r="H71" s="7" t="inlineStr">
        <is>
          <t>Banner or price graphic</t>
        </is>
      </c>
      <c r="I71" s="7" t="inlineStr">
        <is>
          <t>O06_Banner.png</t>
        </is>
      </c>
      <c r="J71" s="9" t="inlineStr"/>
      <c r="K71" s="7" t="inlineStr">
        <is>
          <t>The Clear Message Workbook. ₦5,000.  Work out who you serve, what makes you different and how to say it in one sentence,</t>
        </is>
      </c>
    </row>
    <row r="72">
      <c r="A72" s="7" t="n">
        <v>7</v>
      </c>
      <c r="B72" s="8">
        <f>$B$3+6</f>
        <v/>
      </c>
      <c r="C72" s="7">
        <f>TEXT(B72,"ddd")</f>
        <v/>
      </c>
      <c r="D72" s="7" t="inlineStr">
        <is>
          <t>08:00</t>
        </is>
      </c>
      <c r="E72" s="7" t="inlineStr">
        <is>
          <t>Instagram + Facebook feed</t>
        </is>
      </c>
      <c r="F72" s="7" t="inlineStr">
        <is>
          <t>CORE</t>
        </is>
      </c>
      <c r="G72" s="7" t="inlineStr">
        <is>
          <t>07 The Everyday AI Prompt Desk</t>
        </is>
      </c>
      <c r="H72" s="7" t="inlineStr">
        <is>
          <t>Carousel or tip post</t>
        </is>
      </c>
      <c r="I72" s="7" t="inlineStr">
        <is>
          <t>O07_Carousel1_Slide1.png, O07_Carousel1_Slide2.png, O07_Carousel1_Slide3.png, O07_Carousel1_Slide4.png, O07_Carousel1_Slide5.png, O07_Carousel1_Slide6.png</t>
        </is>
      </c>
      <c r="J72" s="9" t="inlineStr"/>
      <c r="K72" s="7" t="inlineStr">
        <is>
          <t>The five-part prompt  How to ask AI for something useful.  Everyday AI Prompt Desk, ₦5,000. Message PROMPTS on WhatsApp:</t>
        </is>
      </c>
    </row>
    <row r="73">
      <c r="A73" s="7" t="n">
        <v>7</v>
      </c>
      <c r="B73" s="8">
        <f>$B$3+6</f>
        <v/>
      </c>
      <c r="C73" s="7">
        <f>TEXT(B73,"ddd")</f>
        <v/>
      </c>
      <c r="D73" s="7" t="inlineStr">
        <is>
          <t>09:00</t>
        </is>
      </c>
      <c r="E73" s="7" t="inlineStr">
        <is>
          <t>WhatsApp Status</t>
        </is>
      </c>
      <c r="F73" s="7" t="inlineStr">
        <is>
          <t>optional</t>
        </is>
      </c>
      <c r="G73" s="7" t="inlineStr">
        <is>
          <t>07 The Everyday AI Prompt Desk</t>
        </is>
      </c>
      <c r="H73" s="7" t="inlineStr">
        <is>
          <t>Launch / promo post</t>
        </is>
      </c>
      <c r="I73" s="7" t="inlineStr">
        <is>
          <t>O07_Post02_Launch.png</t>
        </is>
      </c>
      <c r="J73" s="9" t="inlineStr"/>
      <c r="K73" s="7" t="inlineStr">
        <is>
          <t>New from Easywurld: The Everyday AI Prompt Desk.  60 copy-paste prompts for everyday business tasks, a prompt-writing gu</t>
        </is>
      </c>
    </row>
    <row r="74">
      <c r="A74" s="7" t="n">
        <v>7</v>
      </c>
      <c r="B74" s="8">
        <f>$B$3+6</f>
        <v/>
      </c>
      <c r="C74" s="7">
        <f>TEXT(B74,"ddd")</f>
        <v/>
      </c>
      <c r="D74" s="7" t="inlineStr">
        <is>
          <t>10:30</t>
        </is>
      </c>
      <c r="E74" s="7" t="inlineStr">
        <is>
          <t>Instagram Story</t>
        </is>
      </c>
      <c r="F74" s="7" t="inlineStr">
        <is>
          <t>optional</t>
        </is>
      </c>
      <c r="G74" s="7" t="inlineStr">
        <is>
          <t>07 The Everyday AI Prompt Desk</t>
        </is>
      </c>
      <c r="H74" s="7" t="inlineStr">
        <is>
          <t>New-offer story</t>
        </is>
      </c>
      <c r="I74" s="7" t="inlineStr">
        <is>
          <t>O07_Story1_New.png</t>
        </is>
      </c>
      <c r="J74" s="9" t="inlineStr"/>
      <c r="K74" s="7" t="inlineStr">
        <is>
          <t>New: The Everyday AI Prompt Desk. Tap, then message PROMPTS on WhatsApp. Sticker text suggestion: “Message PROMPTS” Link</t>
        </is>
      </c>
    </row>
    <row r="75">
      <c r="A75" s="7" t="n">
        <v>7</v>
      </c>
      <c r="B75" s="8">
        <f>$B$3+6</f>
        <v/>
      </c>
      <c r="C75" s="7">
        <f>TEXT(B75,"ddd")</f>
        <v/>
      </c>
      <c r="D75" s="7" t="inlineStr">
        <is>
          <t>12:30</t>
        </is>
      </c>
      <c r="E75" s="7" t="inlineStr">
        <is>
          <t>Instagram Reel + Facebook video</t>
        </is>
      </c>
      <c r="F75" s="7" t="inlineStr">
        <is>
          <t>CORE</t>
        </is>
      </c>
      <c r="G75" s="7" t="inlineStr">
        <is>
          <t>07 The Everyday AI Prompt Desk</t>
        </is>
      </c>
      <c r="H75" s="7" t="inlineStr">
        <is>
          <t>Short video</t>
        </is>
      </c>
      <c r="I75" s="7" t="inlineStr">
        <is>
          <t>O07_Video1_Five-part-prompt.mp4</t>
        </is>
      </c>
      <c r="J75" s="9" t="inlineStr"/>
      <c r="K75" s="7" t="inlineStr">
        <is>
          <t>Five-part prompt  Caption: Message PROMPTS on WhatsApp: 0905 069 0837 The Everyday AI Prompt Desk: ₦5,000. Do-it-yoursel</t>
        </is>
      </c>
    </row>
    <row r="76">
      <c r="A76" s="7" t="n">
        <v>7</v>
      </c>
      <c r="B76" s="8">
        <f>$B$3+6</f>
        <v/>
      </c>
      <c r="C76" s="7">
        <f>TEXT(B76,"ddd")</f>
        <v/>
      </c>
      <c r="D76" s="7" t="inlineStr">
        <is>
          <t>13:30</t>
        </is>
      </c>
      <c r="E76" s="7" t="inlineStr">
        <is>
          <t>WhatsApp Status</t>
        </is>
      </c>
      <c r="F76" s="7" t="inlineStr">
        <is>
          <t>optional</t>
        </is>
      </c>
      <c r="G76" s="7" t="inlineStr">
        <is>
          <t>07 The Everyday AI Prompt Desk</t>
        </is>
      </c>
      <c r="H76" s="7" t="inlineStr">
        <is>
          <t>What is inside</t>
        </is>
      </c>
      <c r="I76" s="7" t="inlineStr">
        <is>
          <t>O07_Post05_Value.png</t>
        </is>
      </c>
      <c r="J76" s="9" t="inlineStr"/>
      <c r="K76" s="7" t="inlineStr">
        <is>
          <t>What is inside the The Everyday AI Prompt Desk, and what we estimate it would cost to produce.  - AI Prompting Guide for</t>
        </is>
      </c>
    </row>
    <row r="77">
      <c r="A77" s="7" t="n">
        <v>7</v>
      </c>
      <c r="B77" s="8">
        <f>$B$3+6</f>
        <v/>
      </c>
      <c r="C77" s="7">
        <f>TEXT(B77,"ddd")</f>
        <v/>
      </c>
      <c r="D77" s="7" t="inlineStr">
        <is>
          <t>15:00</t>
        </is>
      </c>
      <c r="E77" s="7" t="inlineStr">
        <is>
          <t>Facebook feed</t>
        </is>
      </c>
      <c r="F77" s="7" t="inlineStr">
        <is>
          <t>CORE</t>
        </is>
      </c>
      <c r="G77" s="7" t="inlineStr">
        <is>
          <t>07 The Everyday AI Prompt Desk</t>
        </is>
      </c>
      <c r="H77" s="7" t="inlineStr">
        <is>
          <t>Honest-answer (objection) post</t>
        </is>
      </c>
      <c r="I77" s="7" t="inlineStr">
        <is>
          <t>O07_Post03_Honest-answer.png</t>
        </is>
      </c>
      <c r="J77" s="9" t="inlineStr"/>
      <c r="K77" s="7" t="inlineStr">
        <is>
          <t>No. The Everyday AI Prompt Desk is not a chatbot and does not connect to any account.  It is a guide, 60 copy-paste prom</t>
        </is>
      </c>
    </row>
    <row r="78">
      <c r="A78" s="7" t="n">
        <v>7</v>
      </c>
      <c r="B78" s="8">
        <f>$B$3+6</f>
        <v/>
      </c>
      <c r="C78" s="7">
        <f>TEXT(B78,"ddd")</f>
        <v/>
      </c>
      <c r="D78" s="7" t="inlineStr">
        <is>
          <t>16:00</t>
        </is>
      </c>
      <c r="E78" s="7" t="inlineStr">
        <is>
          <t>Instagram Story</t>
        </is>
      </c>
      <c r="F78" s="7" t="inlineStr">
        <is>
          <t>optional</t>
        </is>
      </c>
      <c r="G78" s="7" t="inlineStr">
        <is>
          <t>07 The Everyday AI Prompt Desk</t>
        </is>
      </c>
      <c r="H78" s="7" t="inlineStr">
        <is>
          <t>Price story</t>
        </is>
      </c>
      <c r="I78" s="7" t="inlineStr">
        <is>
          <t>O07_Story2_Price.png</t>
        </is>
      </c>
      <c r="J78" s="9" t="inlineStr"/>
      <c r="K78" s="7" t="inlineStr">
        <is>
          <t>The Everyday AI Prompt Desk: ₦5,000. Estimated replacement cost of what is inside: ₦35,000 (our estimate, not a previous</t>
        </is>
      </c>
    </row>
    <row r="79">
      <c r="A79" s="7" t="n">
        <v>7</v>
      </c>
      <c r="B79" s="8">
        <f>$B$3+6</f>
        <v/>
      </c>
      <c r="C79" s="7">
        <f>TEXT(B79,"ddd")</f>
        <v/>
      </c>
      <c r="D79" s="7" t="inlineStr">
        <is>
          <t>17:00</t>
        </is>
      </c>
      <c r="E79" s="7" t="inlineStr">
        <is>
          <t>WhatsApp Status</t>
        </is>
      </c>
      <c r="F79" s="7" t="inlineStr">
        <is>
          <t>CORE</t>
        </is>
      </c>
      <c r="G79" s="7" t="inlineStr">
        <is>
          <t>07 The Everyday AI Prompt Desk</t>
        </is>
      </c>
      <c r="H79" s="7" t="inlineStr">
        <is>
          <t>Direct-response post</t>
        </is>
      </c>
      <c r="I79" s="7" t="inlineStr">
        <is>
          <t>O07_Post06_Order.png</t>
        </is>
      </c>
      <c r="J79" s="9" t="inlineStr"/>
      <c r="K79" s="7" t="inlineStr">
        <is>
          <t>Want the The Everyday AI Prompt Desk?  Send the word PROMPTS on WhatsApp (0905 069 0837) and we will reply with how to p</t>
        </is>
      </c>
    </row>
    <row r="80">
      <c r="A80" s="7" t="n">
        <v>7</v>
      </c>
      <c r="B80" s="8">
        <f>$B$3+6</f>
        <v/>
      </c>
      <c r="C80" s="7">
        <f>TEXT(B80,"ddd")</f>
        <v/>
      </c>
      <c r="D80" s="7" t="inlineStr">
        <is>
          <t>18:30</t>
        </is>
      </c>
      <c r="E80" s="7" t="inlineStr">
        <is>
          <t>LinkedIn</t>
        </is>
      </c>
      <c r="F80" s="7" t="inlineStr">
        <is>
          <t>optional</t>
        </is>
      </c>
      <c r="G80" s="7" t="inlineStr">
        <is>
          <t>07 The Everyday AI Prompt Desk</t>
        </is>
      </c>
      <c r="H80" s="7" t="inlineStr">
        <is>
          <t>Text post (no media needed)</t>
        </is>
      </c>
      <c r="I80" s="7" t="inlineStr">
        <is>
          <t>O07_LinkedIn1.txt</t>
        </is>
      </c>
      <c r="J80" s="9" t="inlineStr"/>
      <c r="K80" s="7" t="inlineStr">
        <is>
          <t>Most small businesses I speak to are curious about AI tools and unsure how to use them safely.  Three rules I use: 1. Gi</t>
        </is>
      </c>
    </row>
    <row r="81">
      <c r="A81" s="7" t="n">
        <v>7</v>
      </c>
      <c r="B81" s="8">
        <f>$B$3+6</f>
        <v/>
      </c>
      <c r="C81" s="7">
        <f>TEXT(B81,"ddd")</f>
        <v/>
      </c>
      <c r="D81" s="7" t="inlineStr">
        <is>
          <t>20:00</t>
        </is>
      </c>
      <c r="E81" s="7" t="inlineStr">
        <is>
          <t>Instagram + Facebook feed</t>
        </is>
      </c>
      <c r="F81" s="7" t="inlineStr">
        <is>
          <t>optional</t>
        </is>
      </c>
      <c r="G81" s="7" t="inlineStr">
        <is>
          <t>07 The Everyday AI Prompt Desk</t>
        </is>
      </c>
      <c r="H81" s="7" t="inlineStr">
        <is>
          <t>Second feed post</t>
        </is>
      </c>
      <c r="I81" s="7" t="inlineStr">
        <is>
          <t>O07_Post01_Tip.png</t>
        </is>
      </c>
      <c r="J81" s="9" t="inlineStr"/>
      <c r="K81" s="7" t="inlineStr">
        <is>
          <t>Vague prompt: “Write a caption.”  Better: five parts 1. Role: you are a social media assistant for a Lagos bakery 2. Tas</t>
        </is>
      </c>
    </row>
    <row r="82">
      <c r="A82" s="7" t="n">
        <v>7</v>
      </c>
      <c r="B82" s="8">
        <f>$B$3+6</f>
        <v/>
      </c>
      <c r="C82" s="7">
        <f>TEXT(B82,"ddd")</f>
        <v/>
      </c>
      <c r="D82" s="7" t="inlineStr">
        <is>
          <t>21:00</t>
        </is>
      </c>
      <c r="E82" s="7" t="inlineStr">
        <is>
          <t>WhatsApp Status</t>
        </is>
      </c>
      <c r="F82" s="7" t="inlineStr">
        <is>
          <t>optional</t>
        </is>
      </c>
      <c r="G82" s="7" t="inlineStr">
        <is>
          <t>07 The Everyday AI Prompt Desk</t>
        </is>
      </c>
      <c r="H82" s="7" t="inlineStr">
        <is>
          <t>Banner or price graphic</t>
        </is>
      </c>
      <c r="I82" s="7" t="inlineStr">
        <is>
          <t>O07_Banner.png</t>
        </is>
      </c>
      <c r="J82" s="9" t="inlineStr"/>
      <c r="K82" s="7" t="inlineStr">
        <is>
          <t>The Everyday AI Prompt Desk. ₦5,000.  60 copy-paste prompts for everyday business tasks, a prompt-writing guide and a te</t>
        </is>
      </c>
    </row>
    <row r="83">
      <c r="A83" s="7" t="n">
        <v>8</v>
      </c>
      <c r="B83" s="8">
        <f>$B$3+7</f>
        <v/>
      </c>
      <c r="C83" s="7">
        <f>TEXT(B83,"ddd")</f>
        <v/>
      </c>
      <c r="D83" s="7" t="inlineStr">
        <is>
          <t>08:00</t>
        </is>
      </c>
      <c r="E83" s="7" t="inlineStr">
        <is>
          <t>Instagram + Facebook feed</t>
        </is>
      </c>
      <c r="F83" s="7" t="inlineStr">
        <is>
          <t>CORE</t>
        </is>
      </c>
      <c r="G83" s="7" t="inlineStr">
        <is>
          <t>08 The Proposal &amp; Report Template Pack</t>
        </is>
      </c>
      <c r="H83" s="7" t="inlineStr">
        <is>
          <t>Carousel or tip post</t>
        </is>
      </c>
      <c r="I83" s="7" t="inlineStr">
        <is>
          <t>O08_Carousel1_Slide1.png, O08_Carousel1_Slide2.png, O08_Carousel1_Slide3.png, O08_Carousel1_Slide4.png, O08_Carousel1_Slide5.png, O08_Carousel1_Slide6.png</t>
        </is>
      </c>
      <c r="J83" s="9" t="inlineStr"/>
      <c r="K83" s="7" t="inlineStr">
        <is>
          <t>Anatomy of a good proposal  Seven parts, in order.  Proposal &amp; Report Template Pack, ₦5,000. Message TEMPLATES on WhatsA</t>
        </is>
      </c>
    </row>
    <row r="84">
      <c r="A84" s="7" t="n">
        <v>8</v>
      </c>
      <c r="B84" s="8">
        <f>$B$3+7</f>
        <v/>
      </c>
      <c r="C84" s="7">
        <f>TEXT(B84,"ddd")</f>
        <v/>
      </c>
      <c r="D84" s="7" t="inlineStr">
        <is>
          <t>09:00</t>
        </is>
      </c>
      <c r="E84" s="7" t="inlineStr">
        <is>
          <t>WhatsApp Status</t>
        </is>
      </c>
      <c r="F84" s="7" t="inlineStr">
        <is>
          <t>optional</t>
        </is>
      </c>
      <c r="G84" s="7" t="inlineStr">
        <is>
          <t>08 The Proposal &amp; Report Template Pack</t>
        </is>
      </c>
      <c r="H84" s="7" t="inlineStr">
        <is>
          <t>Launch / promo post</t>
        </is>
      </c>
      <c r="I84" s="7" t="inlineStr">
        <is>
          <t>O08_Post02_Launch.png</t>
        </is>
      </c>
      <c r="J84" s="9" t="inlineStr"/>
      <c r="K84" s="7" t="inlineStr">
        <is>
          <t>New from Easywurld: The Proposal &amp; Report Template Pack.  Editable proposal, quote, report and summary templates with wo</t>
        </is>
      </c>
    </row>
    <row r="85">
      <c r="A85" s="7" t="n">
        <v>8</v>
      </c>
      <c r="B85" s="8">
        <f>$B$3+7</f>
        <v/>
      </c>
      <c r="C85" s="7">
        <f>TEXT(B85,"ddd")</f>
        <v/>
      </c>
      <c r="D85" s="7" t="inlineStr">
        <is>
          <t>10:30</t>
        </is>
      </c>
      <c r="E85" s="7" t="inlineStr">
        <is>
          <t>Instagram Story</t>
        </is>
      </c>
      <c r="F85" s="7" t="inlineStr">
        <is>
          <t>optional</t>
        </is>
      </c>
      <c r="G85" s="7" t="inlineStr">
        <is>
          <t>08 The Proposal &amp; Report Template Pack</t>
        </is>
      </c>
      <c r="H85" s="7" t="inlineStr">
        <is>
          <t>New-offer story</t>
        </is>
      </c>
      <c r="I85" s="7" t="inlineStr">
        <is>
          <t>O08_Story1_New.png</t>
        </is>
      </c>
      <c r="J85" s="9" t="inlineStr"/>
      <c r="K85" s="7" t="inlineStr">
        <is>
          <t>New: The Proposal &amp; Report Template Pack. Tap, then message TEMPLATES on WhatsApp. Sticker text suggestion: “Message TEM</t>
        </is>
      </c>
    </row>
    <row r="86">
      <c r="A86" s="7" t="n">
        <v>8</v>
      </c>
      <c r="B86" s="8">
        <f>$B$3+7</f>
        <v/>
      </c>
      <c r="C86" s="7">
        <f>TEXT(B86,"ddd")</f>
        <v/>
      </c>
      <c r="D86" s="7" t="inlineStr">
        <is>
          <t>12:30</t>
        </is>
      </c>
      <c r="E86" s="7" t="inlineStr">
        <is>
          <t>Instagram Reel + Facebook video</t>
        </is>
      </c>
      <c r="F86" s="7" t="inlineStr">
        <is>
          <t>CORE</t>
        </is>
      </c>
      <c r="G86" s="7" t="inlineStr">
        <is>
          <t>08 The Proposal &amp; Report Template Pack</t>
        </is>
      </c>
      <c r="H86" s="7" t="inlineStr">
        <is>
          <t>Short video</t>
        </is>
      </c>
      <c r="I86" s="7" t="inlineStr">
        <is>
          <t>O08_Video1_One-page-rule.mp4</t>
        </is>
      </c>
      <c r="J86" s="9" t="inlineStr"/>
      <c r="K86" s="7" t="inlineStr">
        <is>
          <t>One-page rule  Caption: Message TEMPLATES on WhatsApp: 0905 069 0837 The Proposal &amp; Report Template Pack: ₦5,000. Do-it-</t>
        </is>
      </c>
    </row>
    <row r="87">
      <c r="A87" s="7" t="n">
        <v>8</v>
      </c>
      <c r="B87" s="8">
        <f>$B$3+7</f>
        <v/>
      </c>
      <c r="C87" s="7">
        <f>TEXT(B87,"ddd")</f>
        <v/>
      </c>
      <c r="D87" s="7" t="inlineStr">
        <is>
          <t>13:30</t>
        </is>
      </c>
      <c r="E87" s="7" t="inlineStr">
        <is>
          <t>WhatsApp Status</t>
        </is>
      </c>
      <c r="F87" s="7" t="inlineStr">
        <is>
          <t>optional</t>
        </is>
      </c>
      <c r="G87" s="7" t="inlineStr">
        <is>
          <t>08 The Proposal &amp; Report Template Pack</t>
        </is>
      </c>
      <c r="H87" s="7" t="inlineStr">
        <is>
          <t>What is inside</t>
        </is>
      </c>
      <c r="I87" s="7" t="inlineStr">
        <is>
          <t>O08_Post05_Value.png</t>
        </is>
      </c>
      <c r="J87" s="9" t="inlineStr"/>
      <c r="K87" s="7" t="inlineStr">
        <is>
          <t xml:space="preserve">What is inside the The Proposal &amp; Report Template Pack, and what we estimate it would cost to produce.  - Proposals and </t>
        </is>
      </c>
    </row>
    <row r="88">
      <c r="A88" s="7" t="n">
        <v>8</v>
      </c>
      <c r="B88" s="8">
        <f>$B$3+7</f>
        <v/>
      </c>
      <c r="C88" s="7">
        <f>TEXT(B88,"ddd")</f>
        <v/>
      </c>
      <c r="D88" s="7" t="inlineStr">
        <is>
          <t>15:00</t>
        </is>
      </c>
      <c r="E88" s="7" t="inlineStr">
        <is>
          <t>Facebook feed</t>
        </is>
      </c>
      <c r="F88" s="7" t="inlineStr">
        <is>
          <t>CORE</t>
        </is>
      </c>
      <c r="G88" s="7" t="inlineStr">
        <is>
          <t>08 The Proposal &amp; Report Template Pack</t>
        </is>
      </c>
      <c r="H88" s="7" t="inlineStr">
        <is>
          <t>Honest-answer (objection) post</t>
        </is>
      </c>
      <c r="I88" s="7" t="inlineStr">
        <is>
          <t>O08_Post03_Honest-answer.png</t>
        </is>
      </c>
      <c r="J88" s="9" t="inlineStr"/>
      <c r="K88" s="7" t="inlineStr">
        <is>
          <t>No. The templates in the Proposal &amp; Report Template Pack are general business documents, not legal contracts.  Have your</t>
        </is>
      </c>
    </row>
    <row r="89">
      <c r="A89" s="7" t="n">
        <v>8</v>
      </c>
      <c r="B89" s="8">
        <f>$B$3+7</f>
        <v/>
      </c>
      <c r="C89" s="7">
        <f>TEXT(B89,"ddd")</f>
        <v/>
      </c>
      <c r="D89" s="7" t="inlineStr">
        <is>
          <t>16:00</t>
        </is>
      </c>
      <c r="E89" s="7" t="inlineStr">
        <is>
          <t>Instagram Story</t>
        </is>
      </c>
      <c r="F89" s="7" t="inlineStr">
        <is>
          <t>optional</t>
        </is>
      </c>
      <c r="G89" s="7" t="inlineStr">
        <is>
          <t>08 The Proposal &amp; Report Template Pack</t>
        </is>
      </c>
      <c r="H89" s="7" t="inlineStr">
        <is>
          <t>Price story</t>
        </is>
      </c>
      <c r="I89" s="7" t="inlineStr">
        <is>
          <t>O08_Story2_Price.png</t>
        </is>
      </c>
      <c r="J89" s="9" t="inlineStr"/>
      <c r="K89" s="7" t="inlineStr">
        <is>
          <t xml:space="preserve">The Proposal &amp; Report Template Pack: ₦5,000. Estimated replacement cost of what is inside: ₦32,500 (our estimate, not a </t>
        </is>
      </c>
    </row>
    <row r="90">
      <c r="A90" s="7" t="n">
        <v>8</v>
      </c>
      <c r="B90" s="8">
        <f>$B$3+7</f>
        <v/>
      </c>
      <c r="C90" s="7">
        <f>TEXT(B90,"ddd")</f>
        <v/>
      </c>
      <c r="D90" s="7" t="inlineStr">
        <is>
          <t>17:00</t>
        </is>
      </c>
      <c r="E90" s="7" t="inlineStr">
        <is>
          <t>WhatsApp Status</t>
        </is>
      </c>
      <c r="F90" s="7" t="inlineStr">
        <is>
          <t>CORE</t>
        </is>
      </c>
      <c r="G90" s="7" t="inlineStr">
        <is>
          <t>08 The Proposal &amp; Report Template Pack</t>
        </is>
      </c>
      <c r="H90" s="7" t="inlineStr">
        <is>
          <t>Direct-response post</t>
        </is>
      </c>
      <c r="I90" s="7" t="inlineStr">
        <is>
          <t>O08_Post06_Order.png</t>
        </is>
      </c>
      <c r="J90" s="9" t="inlineStr"/>
      <c r="K90" s="7" t="inlineStr">
        <is>
          <t>Want the The Proposal &amp; Report Template Pack?  Send the word TEMPLATES on WhatsApp (0905 069 0837) and we will reply wit</t>
        </is>
      </c>
    </row>
    <row r="91">
      <c r="A91" s="7" t="n">
        <v>8</v>
      </c>
      <c r="B91" s="8">
        <f>$B$3+7</f>
        <v/>
      </c>
      <c r="C91" s="7">
        <f>TEXT(B91,"ddd")</f>
        <v/>
      </c>
      <c r="D91" s="7" t="inlineStr">
        <is>
          <t>18:30</t>
        </is>
      </c>
      <c r="E91" s="7" t="inlineStr">
        <is>
          <t>LinkedIn</t>
        </is>
      </c>
      <c r="F91" s="7" t="inlineStr">
        <is>
          <t>optional</t>
        </is>
      </c>
      <c r="G91" s="7" t="inlineStr">
        <is>
          <t>08 The Proposal &amp; Report Template Pack</t>
        </is>
      </c>
      <c r="H91" s="7" t="inlineStr">
        <is>
          <t>Text post (no media needed)</t>
        </is>
      </c>
      <c r="I91" s="7" t="inlineStr">
        <is>
          <t>O08_LinkedIn1.txt</t>
        </is>
      </c>
      <c r="J91" s="9" t="inlineStr"/>
      <c r="K91" s="7" t="inlineStr">
        <is>
          <t>A proposal is not a longer quote. It is a short argument: here is your problem, here is my plan, here is the price, here</t>
        </is>
      </c>
    </row>
    <row r="92">
      <c r="A92" s="7" t="n">
        <v>8</v>
      </c>
      <c r="B92" s="8">
        <f>$B$3+7</f>
        <v/>
      </c>
      <c r="C92" s="7">
        <f>TEXT(B92,"ddd")</f>
        <v/>
      </c>
      <c r="D92" s="7" t="inlineStr">
        <is>
          <t>20:00</t>
        </is>
      </c>
      <c r="E92" s="7" t="inlineStr">
        <is>
          <t>Instagram + Facebook feed</t>
        </is>
      </c>
      <c r="F92" s="7" t="inlineStr">
        <is>
          <t>optional</t>
        </is>
      </c>
      <c r="G92" s="7" t="inlineStr">
        <is>
          <t>08 The Proposal &amp; Report Template Pack</t>
        </is>
      </c>
      <c r="H92" s="7" t="inlineStr">
        <is>
          <t>Second feed post</t>
        </is>
      </c>
      <c r="I92" s="7" t="inlineStr">
        <is>
          <t>O08_Post01_Tip.png</t>
        </is>
      </c>
      <c r="J92" s="9" t="inlineStr"/>
      <c r="K92" s="7" t="inlineStr">
        <is>
          <t xml:space="preserve">Busy readers decide on page one. Put these there: - What you will do - What it costs - When it will be done - What they </t>
        </is>
      </c>
    </row>
    <row r="93">
      <c r="A93" s="7" t="n">
        <v>8</v>
      </c>
      <c r="B93" s="8">
        <f>$B$3+7</f>
        <v/>
      </c>
      <c r="C93" s="7">
        <f>TEXT(B93,"ddd")</f>
        <v/>
      </c>
      <c r="D93" s="7" t="inlineStr">
        <is>
          <t>21:00</t>
        </is>
      </c>
      <c r="E93" s="7" t="inlineStr">
        <is>
          <t>WhatsApp Status</t>
        </is>
      </c>
      <c r="F93" s="7" t="inlineStr">
        <is>
          <t>optional</t>
        </is>
      </c>
      <c r="G93" s="7" t="inlineStr">
        <is>
          <t>08 The Proposal &amp; Report Template Pack</t>
        </is>
      </c>
      <c r="H93" s="7" t="inlineStr">
        <is>
          <t>Banner or price graphic</t>
        </is>
      </c>
      <c r="I93" s="7" t="inlineStr">
        <is>
          <t>O08_Banner.png</t>
        </is>
      </c>
      <c r="J93" s="9" t="inlineStr"/>
      <c r="K93" s="7" t="inlineStr">
        <is>
          <t>The Proposal &amp; Report Template Pack. ₦5,000.  Editable proposal, quote, report and summary templates with worked example</t>
        </is>
      </c>
    </row>
    <row r="94">
      <c r="A94" s="7" t="n">
        <v>9</v>
      </c>
      <c r="B94" s="8">
        <f>$B$3+8</f>
        <v/>
      </c>
      <c r="C94" s="7">
        <f>TEXT(B94,"ddd")</f>
        <v/>
      </c>
      <c r="D94" s="7" t="inlineStr">
        <is>
          <t>08:00</t>
        </is>
      </c>
      <c r="E94" s="7" t="inlineStr">
        <is>
          <t>Instagram + Facebook feed</t>
        </is>
      </c>
      <c r="F94" s="7" t="inlineStr">
        <is>
          <t>CORE</t>
        </is>
      </c>
      <c r="G94" s="7" t="inlineStr">
        <is>
          <t>09 The Website Launch &amp; Care Handbook</t>
        </is>
      </c>
      <c r="H94" s="7" t="inlineStr">
        <is>
          <t>Carousel or tip post</t>
        </is>
      </c>
      <c r="I94" s="7" t="inlineStr">
        <is>
          <t>O09_Carousel1_Slide1.png, O09_Carousel1_Slide2.png, O09_Carousel1_Slide3.png, O09_Carousel1_Slide4.png, O09_Carousel1_Slide5.png, O09_Carousel1_Slide6.png</t>
        </is>
      </c>
      <c r="J94" s="9" t="inlineStr"/>
      <c r="K94" s="7" t="inlineStr">
        <is>
          <t>From idea to live website  Seven steps.  Website Launch &amp; Care Handbook, ₦5,000. Message LAUNCH on WhatsApp: 0905 069 08</t>
        </is>
      </c>
    </row>
    <row r="95">
      <c r="A95" s="7" t="n">
        <v>9</v>
      </c>
      <c r="B95" s="8">
        <f>$B$3+8</f>
        <v/>
      </c>
      <c r="C95" s="7">
        <f>TEXT(B95,"ddd")</f>
        <v/>
      </c>
      <c r="D95" s="7" t="inlineStr">
        <is>
          <t>09:00</t>
        </is>
      </c>
      <c r="E95" s="7" t="inlineStr">
        <is>
          <t>WhatsApp Status</t>
        </is>
      </c>
      <c r="F95" s="7" t="inlineStr">
        <is>
          <t>optional</t>
        </is>
      </c>
      <c r="G95" s="7" t="inlineStr">
        <is>
          <t>09 The Website Launch &amp; Care Handbook</t>
        </is>
      </c>
      <c r="H95" s="7" t="inlineStr">
        <is>
          <t>Launch / promo post</t>
        </is>
      </c>
      <c r="I95" s="7" t="inlineStr">
        <is>
          <t>O09_Post02_Launch.png</t>
        </is>
      </c>
      <c r="J95" s="9" t="inlineStr"/>
      <c r="K95" s="7" t="inlineStr">
        <is>
          <t>New from Easywurld: The Website Launch &amp; Care Handbook.  Everything between “I need a website” and “it is live and looke</t>
        </is>
      </c>
    </row>
    <row r="96">
      <c r="A96" s="7" t="n">
        <v>9</v>
      </c>
      <c r="B96" s="8">
        <f>$B$3+8</f>
        <v/>
      </c>
      <c r="C96" s="7">
        <f>TEXT(B96,"ddd")</f>
        <v/>
      </c>
      <c r="D96" s="7" t="inlineStr">
        <is>
          <t>10:30</t>
        </is>
      </c>
      <c r="E96" s="7" t="inlineStr">
        <is>
          <t>Instagram Story</t>
        </is>
      </c>
      <c r="F96" s="7" t="inlineStr">
        <is>
          <t>optional</t>
        </is>
      </c>
      <c r="G96" s="7" t="inlineStr">
        <is>
          <t>09 The Website Launch &amp; Care Handbook</t>
        </is>
      </c>
      <c r="H96" s="7" t="inlineStr">
        <is>
          <t>New-offer story</t>
        </is>
      </c>
      <c r="I96" s="7" t="inlineStr">
        <is>
          <t>O09_Story1_New.png</t>
        </is>
      </c>
      <c r="J96" s="9" t="inlineStr"/>
      <c r="K96" s="7" t="inlineStr">
        <is>
          <t>New: The Website Launch &amp; Care Handbook. Tap, then message LAUNCH on WhatsApp. Sticker text suggestion: “Message LAUNCH”</t>
        </is>
      </c>
    </row>
    <row r="97">
      <c r="A97" s="7" t="n">
        <v>9</v>
      </c>
      <c r="B97" s="8">
        <f>$B$3+8</f>
        <v/>
      </c>
      <c r="C97" s="7">
        <f>TEXT(B97,"ddd")</f>
        <v/>
      </c>
      <c r="D97" s="7" t="inlineStr">
        <is>
          <t>12:30</t>
        </is>
      </c>
      <c r="E97" s="7" t="inlineStr">
        <is>
          <t>Instagram Reel + Facebook video</t>
        </is>
      </c>
      <c r="F97" s="7" t="inlineStr">
        <is>
          <t>CORE</t>
        </is>
      </c>
      <c r="G97" s="7" t="inlineStr">
        <is>
          <t>09 The Website Launch &amp; Care Handbook</t>
        </is>
      </c>
      <c r="H97" s="7" t="inlineStr">
        <is>
          <t>Short video</t>
        </is>
      </c>
      <c r="I97" s="7" t="inlineStr">
        <is>
          <t>O09_Video1_Own-your-domain.mp4</t>
        </is>
      </c>
      <c r="J97" s="9" t="inlineStr"/>
      <c r="K97" s="7" t="inlineStr">
        <is>
          <t>Own your domain  Caption: Message LAUNCH on WhatsApp: 0905 069 0837 The Website Launch &amp; Care Handbook: ₦5,000. Do-it-yo</t>
        </is>
      </c>
    </row>
    <row r="98">
      <c r="A98" s="7" t="n">
        <v>9</v>
      </c>
      <c r="B98" s="8">
        <f>$B$3+8</f>
        <v/>
      </c>
      <c r="C98" s="7">
        <f>TEXT(B98,"ddd")</f>
        <v/>
      </c>
      <c r="D98" s="7" t="inlineStr">
        <is>
          <t>13:30</t>
        </is>
      </c>
      <c r="E98" s="7" t="inlineStr">
        <is>
          <t>WhatsApp Status</t>
        </is>
      </c>
      <c r="F98" s="7" t="inlineStr">
        <is>
          <t>optional</t>
        </is>
      </c>
      <c r="G98" s="7" t="inlineStr">
        <is>
          <t>09 The Website Launch &amp; Care Handbook</t>
        </is>
      </c>
      <c r="H98" s="7" t="inlineStr">
        <is>
          <t>What is inside</t>
        </is>
      </c>
      <c r="I98" s="7" t="inlineStr">
        <is>
          <t>O09_Post05_Value.png</t>
        </is>
      </c>
      <c r="J98" s="9" t="inlineStr"/>
      <c r="K98" s="7" t="inlineStr">
        <is>
          <t xml:space="preserve">What is inside the The Website Launch &amp; Care Handbook, and what we estimate it would cost to produce.  - Website Launch </t>
        </is>
      </c>
    </row>
    <row r="99">
      <c r="A99" s="7" t="n">
        <v>9</v>
      </c>
      <c r="B99" s="8">
        <f>$B$3+8</f>
        <v/>
      </c>
      <c r="C99" s="7">
        <f>TEXT(B99,"ddd")</f>
        <v/>
      </c>
      <c r="D99" s="7" t="inlineStr">
        <is>
          <t>15:00</t>
        </is>
      </c>
      <c r="E99" s="7" t="inlineStr">
        <is>
          <t>Facebook feed</t>
        </is>
      </c>
      <c r="F99" s="7" t="inlineStr">
        <is>
          <t>CORE</t>
        </is>
      </c>
      <c r="G99" s="7" t="inlineStr">
        <is>
          <t>09 The Website Launch &amp; Care Handbook</t>
        </is>
      </c>
      <c r="H99" s="7" t="inlineStr">
        <is>
          <t>Honest-answer (objection) post</t>
        </is>
      </c>
      <c r="I99" s="7" t="inlineStr">
        <is>
          <t>O09_Post03_Honest-answer.png</t>
        </is>
      </c>
      <c r="J99" s="9" t="inlineStr"/>
      <c r="K99" s="7" t="inlineStr">
        <is>
          <t>Honest answer: not with this ₦5,000 Handbook. It is a guide and set of tools: planning, a brief, a launch tracker, a car</t>
        </is>
      </c>
    </row>
    <row r="100">
      <c r="A100" s="7" t="n">
        <v>9</v>
      </c>
      <c r="B100" s="8">
        <f>$B$3+8</f>
        <v/>
      </c>
      <c r="C100" s="7">
        <f>TEXT(B100,"ddd")</f>
        <v/>
      </c>
      <c r="D100" s="7" t="inlineStr">
        <is>
          <t>16:00</t>
        </is>
      </c>
      <c r="E100" s="7" t="inlineStr">
        <is>
          <t>Instagram Story</t>
        </is>
      </c>
      <c r="F100" s="7" t="inlineStr">
        <is>
          <t>optional</t>
        </is>
      </c>
      <c r="G100" s="7" t="inlineStr">
        <is>
          <t>09 The Website Launch &amp; Care Handbook</t>
        </is>
      </c>
      <c r="H100" s="7" t="inlineStr">
        <is>
          <t>Price story</t>
        </is>
      </c>
      <c r="I100" s="7" t="inlineStr">
        <is>
          <t>O09_Story2_Price.png</t>
        </is>
      </c>
      <c r="J100" s="9" t="inlineStr"/>
      <c r="K100" s="7" t="inlineStr">
        <is>
          <t>The Website Launch &amp; Care Handbook: ₦5,000. Estimated replacement cost of what is inside: ₦32,500 (our estimate, not a p</t>
        </is>
      </c>
    </row>
    <row r="101">
      <c r="A101" s="7" t="n">
        <v>9</v>
      </c>
      <c r="B101" s="8">
        <f>$B$3+8</f>
        <v/>
      </c>
      <c r="C101" s="7">
        <f>TEXT(B101,"ddd")</f>
        <v/>
      </c>
      <c r="D101" s="7" t="inlineStr">
        <is>
          <t>17:00</t>
        </is>
      </c>
      <c r="E101" s="7" t="inlineStr">
        <is>
          <t>WhatsApp Status</t>
        </is>
      </c>
      <c r="F101" s="7" t="inlineStr">
        <is>
          <t>CORE</t>
        </is>
      </c>
      <c r="G101" s="7" t="inlineStr">
        <is>
          <t>09 The Website Launch &amp; Care Handbook</t>
        </is>
      </c>
      <c r="H101" s="7" t="inlineStr">
        <is>
          <t>Direct-response post</t>
        </is>
      </c>
      <c r="I101" s="7" t="inlineStr">
        <is>
          <t>O09_Post06_Order.png</t>
        </is>
      </c>
      <c r="J101" s="9" t="inlineStr"/>
      <c r="K101" s="7" t="inlineStr">
        <is>
          <t>Want the The Website Launch &amp; Care Handbook?  Send the word LAUNCH on WhatsApp (0905 069 0837) and we will reply with ho</t>
        </is>
      </c>
    </row>
    <row r="102">
      <c r="A102" s="7" t="n">
        <v>9</v>
      </c>
      <c r="B102" s="8">
        <f>$B$3+8</f>
        <v/>
      </c>
      <c r="C102" s="7">
        <f>TEXT(B102,"ddd")</f>
        <v/>
      </c>
      <c r="D102" s="7" t="inlineStr">
        <is>
          <t>18:30</t>
        </is>
      </c>
      <c r="E102" s="7" t="inlineStr">
        <is>
          <t>LinkedIn</t>
        </is>
      </c>
      <c r="F102" s="7" t="inlineStr">
        <is>
          <t>optional</t>
        </is>
      </c>
      <c r="G102" s="7" t="inlineStr">
        <is>
          <t>09 The Website Launch &amp; Care Handbook</t>
        </is>
      </c>
      <c r="H102" s="7" t="inlineStr">
        <is>
          <t>Text post (no media needed)</t>
        </is>
      </c>
      <c r="I102" s="7" t="inlineStr">
        <is>
          <t>O09_LinkedIn1.txt</t>
        </is>
      </c>
      <c r="J102" s="9" t="inlineStr"/>
      <c r="K102" s="7" t="inlineStr">
        <is>
          <t>The most expensive website mistakes I see are not design mistakes. They are ownership mistakes.  The domain is in the de</t>
        </is>
      </c>
    </row>
    <row r="103">
      <c r="A103" s="7" t="n">
        <v>9</v>
      </c>
      <c r="B103" s="8">
        <f>$B$3+8</f>
        <v/>
      </c>
      <c r="C103" s="7">
        <f>TEXT(B103,"ddd")</f>
        <v/>
      </c>
      <c r="D103" s="7" t="inlineStr">
        <is>
          <t>20:00</t>
        </is>
      </c>
      <c r="E103" s="7" t="inlineStr">
        <is>
          <t>Instagram + Facebook feed</t>
        </is>
      </c>
      <c r="F103" s="7" t="inlineStr">
        <is>
          <t>optional</t>
        </is>
      </c>
      <c r="G103" s="7" t="inlineStr">
        <is>
          <t>09 The Website Launch &amp; Care Handbook</t>
        </is>
      </c>
      <c r="H103" s="7" t="inlineStr">
        <is>
          <t>Second feed post</t>
        </is>
      </c>
      <c r="I103" s="7" t="inlineStr">
        <is>
          <t>O09_Post01_Tip.png</t>
        </is>
      </c>
      <c r="J103" s="9" t="inlineStr"/>
      <c r="K103" s="7" t="inlineStr">
        <is>
          <t xml:space="preserve">A common horror story: the web designer registered the domain in their own name. Months later, you cannot move or renew </t>
        </is>
      </c>
    </row>
    <row r="104">
      <c r="A104" s="7" t="n">
        <v>9</v>
      </c>
      <c r="B104" s="8">
        <f>$B$3+8</f>
        <v/>
      </c>
      <c r="C104" s="7">
        <f>TEXT(B104,"ddd")</f>
        <v/>
      </c>
      <c r="D104" s="7" t="inlineStr">
        <is>
          <t>21:00</t>
        </is>
      </c>
      <c r="E104" s="7" t="inlineStr">
        <is>
          <t>WhatsApp Status</t>
        </is>
      </c>
      <c r="F104" s="7" t="inlineStr">
        <is>
          <t>optional</t>
        </is>
      </c>
      <c r="G104" s="7" t="inlineStr">
        <is>
          <t>09 The Website Launch &amp; Care Handbook</t>
        </is>
      </c>
      <c r="H104" s="7" t="inlineStr">
        <is>
          <t>Banner or price graphic</t>
        </is>
      </c>
      <c r="I104" s="7" t="inlineStr">
        <is>
          <t>O09_Banner.png</t>
        </is>
      </c>
      <c r="J104" s="9" t="inlineStr"/>
      <c r="K104" s="7" t="inlineStr">
        <is>
          <t>The Website Launch &amp; Care Handbook. ₦5,000.  Everything between “I need a website” and “it is live and looked after”: pl</t>
        </is>
      </c>
    </row>
    <row r="105">
      <c r="A105" s="7" t="n">
        <v>10</v>
      </c>
      <c r="B105" s="8">
        <f>$B$3+9</f>
        <v/>
      </c>
      <c r="C105" s="7">
        <f>TEXT(B105,"ddd")</f>
        <v/>
      </c>
      <c r="D105" s="7" t="inlineStr">
        <is>
          <t>08:00</t>
        </is>
      </c>
      <c r="E105" s="7" t="inlineStr">
        <is>
          <t>Instagram + Facebook feed</t>
        </is>
      </c>
      <c r="F105" s="7" t="inlineStr">
        <is>
          <t>CORE</t>
        </is>
      </c>
      <c r="G105" s="7" t="inlineStr">
        <is>
          <t>01 The Chat-to-Customer Playbook</t>
        </is>
      </c>
      <c r="H105" s="7" t="inlineStr">
        <is>
          <t>Carousel or tip post</t>
        </is>
      </c>
      <c r="I105" s="7" t="inlineStr">
        <is>
          <t>O01_Carousel2_Slide1.png, O01_Carousel2_Slide2.png, O01_Carousel2_Slide3.png, O01_Carousel2_Slide4.png, O01_Carousel2_Slide5.png, O01_Carousel2_Slide6.png</t>
        </is>
      </c>
      <c r="J105" s="9" t="inlineStr"/>
      <c r="K105" s="7" t="inlineStr">
        <is>
          <t>Follow-up without begging  Three follow-ups, three tones. No pressure.  Chat-to-Customer Playbook, ₦5,000. Message PLAYB</t>
        </is>
      </c>
    </row>
    <row r="106">
      <c r="A106" s="7" t="n">
        <v>10</v>
      </c>
      <c r="B106" s="8">
        <f>$B$3+9</f>
        <v/>
      </c>
      <c r="C106" s="7">
        <f>TEXT(B106,"ddd")</f>
        <v/>
      </c>
      <c r="D106" s="7" t="inlineStr">
        <is>
          <t>09:00</t>
        </is>
      </c>
      <c r="E106" s="7" t="inlineStr">
        <is>
          <t>WhatsApp Status</t>
        </is>
      </c>
      <c r="F106" s="7" t="inlineStr">
        <is>
          <t>optional</t>
        </is>
      </c>
      <c r="G106" s="7" t="inlineStr">
        <is>
          <t>01 The Chat-to-Customer Playbook</t>
        </is>
      </c>
      <c r="H106" s="7" t="inlineStr">
        <is>
          <t>Launch / promo post</t>
        </is>
      </c>
      <c r="I106" s="7" t="inlineStr">
        <is>
          <t>O01_Post10_Whats-inside.png</t>
        </is>
      </c>
      <c r="J106" s="9" t="inlineStr"/>
      <c r="K106" s="7" t="inlineStr">
        <is>
          <t>The Chat-to-Customer Playbook: 4 files for ₦5,000.  - Chat-to-Customer Playbook (PDF + editable DOCX) - 36-Script Messag</t>
        </is>
      </c>
    </row>
    <row r="107">
      <c r="A107" s="7" t="n">
        <v>10</v>
      </c>
      <c r="B107" s="8">
        <f>$B$3+9</f>
        <v/>
      </c>
      <c r="C107" s="7">
        <f>TEXT(B107,"ddd")</f>
        <v/>
      </c>
      <c r="D107" s="7" t="inlineStr">
        <is>
          <t>10:30</t>
        </is>
      </c>
      <c r="E107" s="7" t="inlineStr">
        <is>
          <t>Instagram Story</t>
        </is>
      </c>
      <c r="F107" s="7" t="inlineStr">
        <is>
          <t>optional</t>
        </is>
      </c>
      <c r="G107" s="7" t="inlineStr">
        <is>
          <t>01 The Chat-to-Customer Playbook</t>
        </is>
      </c>
      <c r="H107" s="7" t="inlineStr">
        <is>
          <t>New-offer story</t>
        </is>
      </c>
      <c r="I107" s="7" t="inlineStr">
        <is>
          <t>O01_Story1_New.png</t>
        </is>
      </c>
      <c r="J107" s="9" t="inlineStr"/>
      <c r="K107" s="7" t="inlineStr">
        <is>
          <t xml:space="preserve">New: The Chat-to-Customer Playbook. Tap, then message PLAYBOOK on WhatsApp. Sticker text suggestion: “Message PLAYBOOK” </t>
        </is>
      </c>
    </row>
    <row r="108">
      <c r="A108" s="7" t="n">
        <v>10</v>
      </c>
      <c r="B108" s="8">
        <f>$B$3+9</f>
        <v/>
      </c>
      <c r="C108" s="7">
        <f>TEXT(B108,"ddd")</f>
        <v/>
      </c>
      <c r="D108" s="7" t="inlineStr">
        <is>
          <t>12:30</t>
        </is>
      </c>
      <c r="E108" s="7" t="inlineStr">
        <is>
          <t>Instagram Reel + Facebook video</t>
        </is>
      </c>
      <c r="F108" s="7" t="inlineStr">
        <is>
          <t>CORE</t>
        </is>
      </c>
      <c r="G108" s="7" t="inlineStr">
        <is>
          <t>01 The Chat-to-Customer Playbook</t>
        </is>
      </c>
      <c r="H108" s="7" t="inlineStr">
        <is>
          <t>Short video</t>
        </is>
      </c>
      <c r="I108" s="7" t="inlineStr">
        <is>
          <t>O01_Video2_Follow-up-rhythm.mp4</t>
        </is>
      </c>
      <c r="J108" s="9" t="inlineStr"/>
      <c r="K108" s="7" t="inlineStr">
        <is>
          <t>Follow-up rhythm  Caption: Message PLAYBOOK on WhatsApp: 0905 069 0837 The Chat-to-Customer Playbook: ₦5,000. Do-it-your</t>
        </is>
      </c>
    </row>
    <row r="109">
      <c r="A109" s="7" t="n">
        <v>10</v>
      </c>
      <c r="B109" s="8">
        <f>$B$3+9</f>
        <v/>
      </c>
      <c r="C109" s="7">
        <f>TEXT(B109,"ddd")</f>
        <v/>
      </c>
      <c r="D109" s="7" t="inlineStr">
        <is>
          <t>13:30</t>
        </is>
      </c>
      <c r="E109" s="7" t="inlineStr">
        <is>
          <t>WhatsApp Status</t>
        </is>
      </c>
      <c r="F109" s="7" t="inlineStr">
        <is>
          <t>optional</t>
        </is>
      </c>
      <c r="G109" s="7" t="inlineStr">
        <is>
          <t>01 The Chat-to-Customer Playbook</t>
        </is>
      </c>
      <c r="H109" s="7" t="inlineStr">
        <is>
          <t>What is inside</t>
        </is>
      </c>
      <c r="I109" s="7" t="inlineStr">
        <is>
          <t>O01_Post09_Mockup.png</t>
        </is>
      </c>
      <c r="J109" s="9" t="inlineStr"/>
      <c r="K109" s="7" t="inlineStr">
        <is>
          <t>4 files, one download.  The Chat-to-Customer Playbook: Chat-to-Customer Playbook; 36-Script Message Library; Lead &amp; Foll</t>
        </is>
      </c>
    </row>
    <row r="110">
      <c r="A110" s="7" t="n">
        <v>10</v>
      </c>
      <c r="B110" s="8">
        <f>$B$3+9</f>
        <v/>
      </c>
      <c r="C110" s="7">
        <f>TEXT(B110,"ddd")</f>
        <v/>
      </c>
      <c r="D110" s="7" t="inlineStr">
        <is>
          <t>15:00</t>
        </is>
      </c>
      <c r="E110" s="7" t="inlineStr">
        <is>
          <t>Facebook feed</t>
        </is>
      </c>
      <c r="F110" s="7" t="inlineStr">
        <is>
          <t>CORE</t>
        </is>
      </c>
      <c r="G110" s="7" t="inlineStr">
        <is>
          <t>01 The Chat-to-Customer Playbook</t>
        </is>
      </c>
      <c r="H110" s="7" t="inlineStr">
        <is>
          <t>Honest-answer (objection) post</t>
        </is>
      </c>
      <c r="I110" s="7" t="inlineStr">
        <is>
          <t>O01_Post08_Honest-answer.png</t>
        </is>
      </c>
      <c r="J110" s="9" t="inlineStr"/>
      <c r="K110" s="7" t="inlineStr">
        <is>
          <t>Fair. That is why it is built to be used, not studied.  Read the Playbook in about 25 minutes. Copy the scripts you need</t>
        </is>
      </c>
    </row>
    <row r="111">
      <c r="A111" s="7" t="n">
        <v>10</v>
      </c>
      <c r="B111" s="8">
        <f>$B$3+9</f>
        <v/>
      </c>
      <c r="C111" s="7">
        <f>TEXT(B111,"ddd")</f>
        <v/>
      </c>
      <c r="D111" s="7" t="inlineStr">
        <is>
          <t>16:00</t>
        </is>
      </c>
      <c r="E111" s="7" t="inlineStr">
        <is>
          <t>Instagram Story</t>
        </is>
      </c>
      <c r="F111" s="7" t="inlineStr">
        <is>
          <t>optional</t>
        </is>
      </c>
      <c r="G111" s="7" t="inlineStr">
        <is>
          <t>01 The Chat-to-Customer Playbook</t>
        </is>
      </c>
      <c r="H111" s="7" t="inlineStr">
        <is>
          <t>Price story</t>
        </is>
      </c>
      <c r="I111" s="7" t="inlineStr">
        <is>
          <t>O01_Story2_Price.png</t>
        </is>
      </c>
      <c r="J111" s="9" t="inlineStr"/>
      <c r="K111" s="7" t="inlineStr">
        <is>
          <t>The Chat-to-Customer Playbook: ₦5,000. Estimated replacement cost of what is inside: ₦35,000 (our estimate, not a previo</t>
        </is>
      </c>
    </row>
    <row r="112">
      <c r="A112" s="7" t="n">
        <v>10</v>
      </c>
      <c r="B112" s="8">
        <f>$B$3+9</f>
        <v/>
      </c>
      <c r="C112" s="7">
        <f>TEXT(B112,"ddd")</f>
        <v/>
      </c>
      <c r="D112" s="7" t="inlineStr">
        <is>
          <t>17:00</t>
        </is>
      </c>
      <c r="E112" s="7" t="inlineStr">
        <is>
          <t>WhatsApp Status</t>
        </is>
      </c>
      <c r="F112" s="7" t="inlineStr">
        <is>
          <t>CORE</t>
        </is>
      </c>
      <c r="G112" s="7" t="inlineStr">
        <is>
          <t>01 The Chat-to-Customer Playbook</t>
        </is>
      </c>
      <c r="H112" s="7" t="inlineStr">
        <is>
          <t>Direct-response post</t>
        </is>
      </c>
      <c r="I112" s="7" t="inlineStr">
        <is>
          <t>O01_Post06_Order.png</t>
        </is>
      </c>
      <c r="J112" s="9" t="inlineStr"/>
      <c r="K112" s="7" t="inlineStr">
        <is>
          <t>Want the The Chat-to-Customer Playbook?  Send the word PLAYBOOK on WhatsApp (0905 069 0837) and we will reply with how t</t>
        </is>
      </c>
    </row>
    <row r="113">
      <c r="A113" s="7" t="n">
        <v>10</v>
      </c>
      <c r="B113" s="8">
        <f>$B$3+9</f>
        <v/>
      </c>
      <c r="C113" s="7">
        <f>TEXT(B113,"ddd")</f>
        <v/>
      </c>
      <c r="D113" s="7" t="inlineStr">
        <is>
          <t>18:30</t>
        </is>
      </c>
      <c r="E113" s="7" t="inlineStr">
        <is>
          <t>LinkedIn</t>
        </is>
      </c>
      <c r="F113" s="7" t="inlineStr">
        <is>
          <t>optional</t>
        </is>
      </c>
      <c r="G113" s="7" t="inlineStr">
        <is>
          <t>01 The Chat-to-Customer Playbook</t>
        </is>
      </c>
      <c r="H113" s="7" t="inlineStr">
        <is>
          <t>Text post (no media needed)</t>
        </is>
      </c>
      <c r="I113" s="7" t="inlineStr">
        <is>
          <t>O01_LinkedIn2.txt</t>
        </is>
      </c>
      <c r="J113" s="9" t="inlineStr"/>
      <c r="K113" s="7" t="inlineStr">
        <is>
          <t xml:space="preserve">A question for anyone who sells through WhatsApp: how many enquiries did you get last week, and how many did you follow </t>
        </is>
      </c>
    </row>
    <row r="114">
      <c r="A114" s="7" t="n">
        <v>10</v>
      </c>
      <c r="B114" s="8">
        <f>$B$3+9</f>
        <v/>
      </c>
      <c r="C114" s="7">
        <f>TEXT(B114,"ddd")</f>
        <v/>
      </c>
      <c r="D114" s="7" t="inlineStr">
        <is>
          <t>20:00</t>
        </is>
      </c>
      <c r="E114" s="7" t="inlineStr">
        <is>
          <t>Instagram + Facebook feed</t>
        </is>
      </c>
      <c r="F114" s="7" t="inlineStr">
        <is>
          <t>optional</t>
        </is>
      </c>
      <c r="G114" s="7" t="inlineStr">
        <is>
          <t>01 The Chat-to-Customer Playbook</t>
        </is>
      </c>
      <c r="H114" s="7" t="inlineStr">
        <is>
          <t>Second feed post</t>
        </is>
      </c>
      <c r="I114" s="7" t="inlineStr">
        <is>
          <t>O01_Post04_Tip.png</t>
        </is>
      </c>
      <c r="J114" s="9" t="inlineStr"/>
      <c r="K114" s="7" t="inlineStr">
        <is>
          <t xml:space="preserve">Most people who ask for a price are not saying no. They are busy.  A simple follow-up rhythm: Day 1: “Just checking you </t>
        </is>
      </c>
    </row>
    <row r="115">
      <c r="A115" s="7" t="n">
        <v>10</v>
      </c>
      <c r="B115" s="8">
        <f>$B$3+9</f>
        <v/>
      </c>
      <c r="C115" s="7">
        <f>TEXT(B115,"ddd")</f>
        <v/>
      </c>
      <c r="D115" s="7" t="inlineStr">
        <is>
          <t>21:00</t>
        </is>
      </c>
      <c r="E115" s="7" t="inlineStr">
        <is>
          <t>WhatsApp Status</t>
        </is>
      </c>
      <c r="F115" s="7" t="inlineStr">
        <is>
          <t>optional</t>
        </is>
      </c>
      <c r="G115" s="7" t="inlineStr">
        <is>
          <t>01 The Chat-to-Customer Playbook</t>
        </is>
      </c>
      <c r="H115" s="7" t="inlineStr">
        <is>
          <t>Banner or price graphic</t>
        </is>
      </c>
      <c r="I115" s="7" t="inlineStr">
        <is>
          <t>O01_Banner.png</t>
        </is>
      </c>
      <c r="J115" s="9" t="inlineStr"/>
      <c r="K115" s="7" t="inlineStr">
        <is>
          <t>The Chat-to-Customer Playbook. ₦5,000.  Turn WhatsApp and DM enquiries into paid orders, with scripts, a tracker and a f</t>
        </is>
      </c>
    </row>
    <row r="116">
      <c r="A116" s="7" t="n">
        <v>11</v>
      </c>
      <c r="B116" s="8">
        <f>$B$3+10</f>
        <v/>
      </c>
      <c r="C116" s="7">
        <f>TEXT(B116,"ddd")</f>
        <v/>
      </c>
      <c r="D116" s="7" t="inlineStr">
        <is>
          <t>08:00</t>
        </is>
      </c>
      <c r="E116" s="7" t="inlineStr">
        <is>
          <t>Instagram + Facebook feed</t>
        </is>
      </c>
      <c r="F116" s="7" t="inlineStr">
        <is>
          <t>CORE</t>
        </is>
      </c>
      <c r="G116" s="7" t="inlineStr">
        <is>
          <t>02 The Clear Homepage Blueprint</t>
        </is>
      </c>
      <c r="H116" s="7" t="inlineStr">
        <is>
          <t>Carousel or tip post</t>
        </is>
      </c>
      <c r="I116" s="7" t="inlineStr">
        <is>
          <t>O02_Carousel2_Slide1.png, O02_Carousel2_Slide2.png, O02_Carousel2_Slide3.png, O02_Carousel2_Slide4.png, O02_Carousel2_Slide5.png, O02_Carousel2_Slide6.png</t>
        </is>
      </c>
      <c r="J116" s="9" t="inlineStr"/>
      <c r="K116" s="7" t="inlineStr">
        <is>
          <t>A homepage section order that works  A simple order for most small-business homepages.  Clear Homepage Blueprint, ₦5,000</t>
        </is>
      </c>
    </row>
    <row r="117">
      <c r="A117" s="7" t="n">
        <v>11</v>
      </c>
      <c r="B117" s="8">
        <f>$B$3+10</f>
        <v/>
      </c>
      <c r="C117" s="7">
        <f>TEXT(B117,"ddd")</f>
        <v/>
      </c>
      <c r="D117" s="7" t="inlineStr">
        <is>
          <t>09:00</t>
        </is>
      </c>
      <c r="E117" s="7" t="inlineStr">
        <is>
          <t>WhatsApp Status</t>
        </is>
      </c>
      <c r="F117" s="7" t="inlineStr">
        <is>
          <t>optional</t>
        </is>
      </c>
      <c r="G117" s="7" t="inlineStr">
        <is>
          <t>02 The Clear Homepage Blueprint</t>
        </is>
      </c>
      <c r="H117" s="7" t="inlineStr">
        <is>
          <t>Launch / promo post</t>
        </is>
      </c>
      <c r="I117" s="7" t="inlineStr">
        <is>
          <t>O02_Post10_Whats-inside.png</t>
        </is>
      </c>
      <c r="J117" s="9" t="inlineStr"/>
      <c r="K117" s="7" t="inlineStr">
        <is>
          <t>The Clear Homepage Blueprint: 4 files for ₦5,000.  - Clear Homepage Blueprint (PDF + editable DOCX) - Homepage Copy Temp</t>
        </is>
      </c>
    </row>
    <row r="118">
      <c r="A118" s="7" t="n">
        <v>11</v>
      </c>
      <c r="B118" s="8">
        <f>$B$3+10</f>
        <v/>
      </c>
      <c r="C118" s="7">
        <f>TEXT(B118,"ddd")</f>
        <v/>
      </c>
      <c r="D118" s="7" t="inlineStr">
        <is>
          <t>10:30</t>
        </is>
      </c>
      <c r="E118" s="7" t="inlineStr">
        <is>
          <t>Instagram Story</t>
        </is>
      </c>
      <c r="F118" s="7" t="inlineStr">
        <is>
          <t>optional</t>
        </is>
      </c>
      <c r="G118" s="7" t="inlineStr">
        <is>
          <t>02 The Clear Homepage Blueprint</t>
        </is>
      </c>
      <c r="H118" s="7" t="inlineStr">
        <is>
          <t>New-offer story</t>
        </is>
      </c>
      <c r="I118" s="7" t="inlineStr">
        <is>
          <t>O02_Story1_New.png</t>
        </is>
      </c>
      <c r="J118" s="9" t="inlineStr"/>
      <c r="K118" s="7" t="inlineStr">
        <is>
          <t>New: The Clear Homepage Blueprint. Tap, then message CLEAR on WhatsApp. Sticker text suggestion: “Message CLEAR” Link or</t>
        </is>
      </c>
    </row>
    <row r="119">
      <c r="A119" s="7" t="n">
        <v>11</v>
      </c>
      <c r="B119" s="8">
        <f>$B$3+10</f>
        <v/>
      </c>
      <c r="C119" s="7">
        <f>TEXT(B119,"ddd")</f>
        <v/>
      </c>
      <c r="D119" s="7" t="inlineStr">
        <is>
          <t>12:30</t>
        </is>
      </c>
      <c r="E119" s="7" t="inlineStr">
        <is>
          <t>Instagram Reel + Facebook video</t>
        </is>
      </c>
      <c r="F119" s="7" t="inlineStr">
        <is>
          <t>CORE</t>
        </is>
      </c>
      <c r="G119" s="7" t="inlineStr">
        <is>
          <t>02 The Clear Homepage Blueprint</t>
        </is>
      </c>
      <c r="H119" s="7" t="inlineStr">
        <is>
          <t>Short video</t>
        </is>
      </c>
      <c r="I119" s="7" t="inlineStr">
        <is>
          <t>O02_Video2_Headline-fix.mp4</t>
        </is>
      </c>
      <c r="J119" s="9" t="inlineStr"/>
      <c r="K119" s="7" t="inlineStr">
        <is>
          <t>Headline fix  Caption: Message CLEAR on WhatsApp: 0905 069 0837 The Clear Homepage Blueprint: ₦5,000. Do-it-yourself, no</t>
        </is>
      </c>
    </row>
    <row r="120">
      <c r="A120" s="7" t="n">
        <v>11</v>
      </c>
      <c r="B120" s="8">
        <f>$B$3+10</f>
        <v/>
      </c>
      <c r="C120" s="7">
        <f>TEXT(B120,"ddd")</f>
        <v/>
      </c>
      <c r="D120" s="7" t="inlineStr">
        <is>
          <t>13:30</t>
        </is>
      </c>
      <c r="E120" s="7" t="inlineStr">
        <is>
          <t>WhatsApp Status</t>
        </is>
      </c>
      <c r="F120" s="7" t="inlineStr">
        <is>
          <t>optional</t>
        </is>
      </c>
      <c r="G120" s="7" t="inlineStr">
        <is>
          <t>02 The Clear Homepage Blueprint</t>
        </is>
      </c>
      <c r="H120" s="7" t="inlineStr">
        <is>
          <t>What is inside</t>
        </is>
      </c>
      <c r="I120" s="7" t="inlineStr">
        <is>
          <t>O02_Post09_Mockup.png</t>
        </is>
      </c>
      <c r="J120" s="9" t="inlineStr"/>
      <c r="K120" s="7" t="inlineStr">
        <is>
          <t>4 files, one download.  The Clear Homepage Blueprint: Clear Homepage Blueprint; Homepage Copy Templates; Homepage Conten</t>
        </is>
      </c>
    </row>
    <row r="121">
      <c r="A121" s="7" t="n">
        <v>11</v>
      </c>
      <c r="B121" s="8">
        <f>$B$3+10</f>
        <v/>
      </c>
      <c r="C121" s="7">
        <f>TEXT(B121,"ddd")</f>
        <v/>
      </c>
      <c r="D121" s="7" t="inlineStr">
        <is>
          <t>15:00</t>
        </is>
      </c>
      <c r="E121" s="7" t="inlineStr">
        <is>
          <t>Facebook feed</t>
        </is>
      </c>
      <c r="F121" s="7" t="inlineStr">
        <is>
          <t>CORE</t>
        </is>
      </c>
      <c r="G121" s="7" t="inlineStr">
        <is>
          <t>02 The Clear Homepage Blueprint</t>
        </is>
      </c>
      <c r="H121" s="7" t="inlineStr">
        <is>
          <t>Honest-answer (objection) post</t>
        </is>
      </c>
      <c r="I121" s="7" t="inlineStr">
        <is>
          <t>O02_Post08_Honest-answer.png</t>
        </is>
      </c>
      <c r="J121" s="9" t="inlineStr"/>
      <c r="K121" s="7" t="inlineStr">
        <is>
          <t>Honest answer: no. The Clear Homepage Blueprint is a do-it-yourself kit.  You get a method, fill-in templates, a planner</t>
        </is>
      </c>
    </row>
    <row r="122">
      <c r="A122" s="7" t="n">
        <v>11</v>
      </c>
      <c r="B122" s="8">
        <f>$B$3+10</f>
        <v/>
      </c>
      <c r="C122" s="7">
        <f>TEXT(B122,"ddd")</f>
        <v/>
      </c>
      <c r="D122" s="7" t="inlineStr">
        <is>
          <t>16:00</t>
        </is>
      </c>
      <c r="E122" s="7" t="inlineStr">
        <is>
          <t>Instagram Story</t>
        </is>
      </c>
      <c r="F122" s="7" t="inlineStr">
        <is>
          <t>optional</t>
        </is>
      </c>
      <c r="G122" s="7" t="inlineStr">
        <is>
          <t>02 The Clear Homepage Blueprint</t>
        </is>
      </c>
      <c r="H122" s="7" t="inlineStr">
        <is>
          <t>Price story</t>
        </is>
      </c>
      <c r="I122" s="7" t="inlineStr">
        <is>
          <t>O02_Story2_Price.png</t>
        </is>
      </c>
      <c r="J122" s="9" t="inlineStr"/>
      <c r="K122" s="7" t="inlineStr">
        <is>
          <t>The Clear Homepage Blueprint: ₦5,000. Estimated replacement cost of what is inside: ₦32,500 (our estimate, not a previou</t>
        </is>
      </c>
    </row>
    <row r="123">
      <c r="A123" s="7" t="n">
        <v>11</v>
      </c>
      <c r="B123" s="8">
        <f>$B$3+10</f>
        <v/>
      </c>
      <c r="C123" s="7">
        <f>TEXT(B123,"ddd")</f>
        <v/>
      </c>
      <c r="D123" s="7" t="inlineStr">
        <is>
          <t>17:00</t>
        </is>
      </c>
      <c r="E123" s="7" t="inlineStr">
        <is>
          <t>WhatsApp Status</t>
        </is>
      </c>
      <c r="F123" s="7" t="inlineStr">
        <is>
          <t>CORE</t>
        </is>
      </c>
      <c r="G123" s="7" t="inlineStr">
        <is>
          <t>02 The Clear Homepage Blueprint</t>
        </is>
      </c>
      <c r="H123" s="7" t="inlineStr">
        <is>
          <t>Direct-response post</t>
        </is>
      </c>
      <c r="I123" s="7" t="inlineStr">
        <is>
          <t>O02_Post06_Order.png</t>
        </is>
      </c>
      <c r="J123" s="9" t="inlineStr"/>
      <c r="K123" s="7" t="inlineStr">
        <is>
          <t>Want the The Clear Homepage Blueprint?  Send the word CLEAR on WhatsApp (0905 069 0837) and we will reply with how to pa</t>
        </is>
      </c>
    </row>
    <row r="124">
      <c r="A124" s="7" t="n">
        <v>11</v>
      </c>
      <c r="B124" s="8">
        <f>$B$3+10</f>
        <v/>
      </c>
      <c r="C124" s="7">
        <f>TEXT(B124,"ddd")</f>
        <v/>
      </c>
      <c r="D124" s="7" t="inlineStr">
        <is>
          <t>18:30</t>
        </is>
      </c>
      <c r="E124" s="7" t="inlineStr">
        <is>
          <t>LinkedIn</t>
        </is>
      </c>
      <c r="F124" s="7" t="inlineStr">
        <is>
          <t>optional</t>
        </is>
      </c>
      <c r="G124" s="7" t="inlineStr">
        <is>
          <t>02 The Clear Homepage Blueprint</t>
        </is>
      </c>
      <c r="H124" s="7" t="inlineStr">
        <is>
          <t>Text post (no media needed)</t>
        </is>
      </c>
      <c r="I124" s="7" t="inlineStr">
        <is>
          <t>O02_LinkedIn2.txt</t>
        </is>
      </c>
      <c r="J124" s="9" t="inlineStr"/>
      <c r="K124" s="7" t="inlineStr">
        <is>
          <t>Try this today: open your homepage on your phone, without scrolling, and ask a friend to say what you sell.  If they can</t>
        </is>
      </c>
    </row>
    <row r="125">
      <c r="A125" s="7" t="n">
        <v>11</v>
      </c>
      <c r="B125" s="8">
        <f>$B$3+10</f>
        <v/>
      </c>
      <c r="C125" s="7">
        <f>TEXT(B125,"ddd")</f>
        <v/>
      </c>
      <c r="D125" s="7" t="inlineStr">
        <is>
          <t>20:00</t>
        </is>
      </c>
      <c r="E125" s="7" t="inlineStr">
        <is>
          <t>Instagram + Facebook feed</t>
        </is>
      </c>
      <c r="F125" s="7" t="inlineStr">
        <is>
          <t>optional</t>
        </is>
      </c>
      <c r="G125" s="7" t="inlineStr">
        <is>
          <t>02 The Clear Homepage Blueprint</t>
        </is>
      </c>
      <c r="H125" s="7" t="inlineStr">
        <is>
          <t>Second feed post</t>
        </is>
      </c>
      <c r="I125" s="7" t="inlineStr">
        <is>
          <t>O02_Post04_Tip.png</t>
        </is>
      </c>
      <c r="J125" s="9" t="inlineStr"/>
      <c r="K125" s="7" t="inlineStr">
        <is>
          <t>“Welcome to Ade &amp; Sons Ltd” tells a visitor nothing.  Try: “Fresh-baked cakes for Lagos birthdays and weddings. Order by</t>
        </is>
      </c>
    </row>
    <row r="126">
      <c r="A126" s="7" t="n">
        <v>11</v>
      </c>
      <c r="B126" s="8">
        <f>$B$3+10</f>
        <v/>
      </c>
      <c r="C126" s="7">
        <f>TEXT(B126,"ddd")</f>
        <v/>
      </c>
      <c r="D126" s="7" t="inlineStr">
        <is>
          <t>21:00</t>
        </is>
      </c>
      <c r="E126" s="7" t="inlineStr">
        <is>
          <t>WhatsApp Status</t>
        </is>
      </c>
      <c r="F126" s="7" t="inlineStr">
        <is>
          <t>optional</t>
        </is>
      </c>
      <c r="G126" s="7" t="inlineStr">
        <is>
          <t>02 The Clear Homepage Blueprint</t>
        </is>
      </c>
      <c r="H126" s="7" t="inlineStr">
        <is>
          <t>Banner or price graphic</t>
        </is>
      </c>
      <c r="I126" s="7" t="inlineStr">
        <is>
          <t>O02_Banner.png</t>
        </is>
      </c>
      <c r="J126" s="9" t="inlineStr"/>
      <c r="K126" s="7" t="inlineStr">
        <is>
          <t>The Clear Homepage Blueprint. ₦5,000.  Rewrite your homepage so a visitor knows what you sell, who it is for and what to</t>
        </is>
      </c>
    </row>
    <row r="127">
      <c r="A127" s="7" t="n">
        <v>12</v>
      </c>
      <c r="B127" s="8">
        <f>$B$3+11</f>
        <v/>
      </c>
      <c r="C127" s="7">
        <f>TEXT(B127,"ddd")</f>
        <v/>
      </c>
      <c r="D127" s="7" t="inlineStr">
        <is>
          <t>08:00</t>
        </is>
      </c>
      <c r="E127" s="7" t="inlineStr">
        <is>
          <t>Instagram + Facebook feed</t>
        </is>
      </c>
      <c r="F127" s="7" t="inlineStr">
        <is>
          <t>CORE</t>
        </is>
      </c>
      <c r="G127" s="7" t="inlineStr">
        <is>
          <t>03 The 30-Day Content Engine</t>
        </is>
      </c>
      <c r="H127" s="7" t="inlineStr">
        <is>
          <t>Carousel or tip post</t>
        </is>
      </c>
      <c r="I127" s="7" t="inlineStr">
        <is>
          <t>O03_Carousel2_Slide1.png, O03_Carousel2_Slide2.png, O03_Carousel2_Slide3.png, O03_Carousel2_Slide4.png, O03_Carousel2_Slide5.png, O03_Carousel2_Slide6.png</t>
        </is>
      </c>
      <c r="J127" s="9" t="inlineStr"/>
      <c r="K127" s="7" t="inlineStr">
        <is>
          <t>A weekly batching routine  Two to three hours a week. One sitting per task.  30-Day Content Engine, ₦5,000. Message ENGI</t>
        </is>
      </c>
    </row>
    <row r="128">
      <c r="A128" s="7" t="n">
        <v>12</v>
      </c>
      <c r="B128" s="8">
        <f>$B$3+11</f>
        <v/>
      </c>
      <c r="C128" s="7">
        <f>TEXT(B128,"ddd")</f>
        <v/>
      </c>
      <c r="D128" s="7" t="inlineStr">
        <is>
          <t>09:00</t>
        </is>
      </c>
      <c r="E128" s="7" t="inlineStr">
        <is>
          <t>WhatsApp Status</t>
        </is>
      </c>
      <c r="F128" s="7" t="inlineStr">
        <is>
          <t>optional</t>
        </is>
      </c>
      <c r="G128" s="7" t="inlineStr">
        <is>
          <t>03 The 30-Day Content Engine</t>
        </is>
      </c>
      <c r="H128" s="7" t="inlineStr">
        <is>
          <t>Launch / promo post</t>
        </is>
      </c>
      <c r="I128" s="7" t="inlineStr">
        <is>
          <t>O03_Post10_Whats-inside.png</t>
        </is>
      </c>
      <c r="J128" s="9" t="inlineStr"/>
      <c r="K128" s="7" t="inlineStr">
        <is>
          <t xml:space="preserve">The 30-Day Content Engine: 4 files for ₦5,000.  - 30-Day Content Engine Guide (PDF + editable DOCX) - 60-Idea Post Bank </t>
        </is>
      </c>
    </row>
    <row r="129">
      <c r="A129" s="7" t="n">
        <v>12</v>
      </c>
      <c r="B129" s="8">
        <f>$B$3+11</f>
        <v/>
      </c>
      <c r="C129" s="7">
        <f>TEXT(B129,"ddd")</f>
        <v/>
      </c>
      <c r="D129" s="7" t="inlineStr">
        <is>
          <t>10:30</t>
        </is>
      </c>
      <c r="E129" s="7" t="inlineStr">
        <is>
          <t>Instagram Story</t>
        </is>
      </c>
      <c r="F129" s="7" t="inlineStr">
        <is>
          <t>optional</t>
        </is>
      </c>
      <c r="G129" s="7" t="inlineStr">
        <is>
          <t>03 The 30-Day Content Engine</t>
        </is>
      </c>
      <c r="H129" s="7" t="inlineStr">
        <is>
          <t>New-offer story</t>
        </is>
      </c>
      <c r="I129" s="7" t="inlineStr">
        <is>
          <t>O03_Story1_New.png</t>
        </is>
      </c>
      <c r="J129" s="9" t="inlineStr"/>
      <c r="K129" s="7" t="inlineStr">
        <is>
          <t xml:space="preserve">New: The 30-Day Content Engine. Tap, then message ENGINE on WhatsApp. Sticker text suggestion: “Message ENGINE” Link or </t>
        </is>
      </c>
    </row>
    <row r="130">
      <c r="A130" s="7" t="n">
        <v>12</v>
      </c>
      <c r="B130" s="8">
        <f>$B$3+11</f>
        <v/>
      </c>
      <c r="C130" s="7">
        <f>TEXT(B130,"ddd")</f>
        <v/>
      </c>
      <c r="D130" s="7" t="inlineStr">
        <is>
          <t>12:30</t>
        </is>
      </c>
      <c r="E130" s="7" t="inlineStr">
        <is>
          <t>Instagram Reel + Facebook video</t>
        </is>
      </c>
      <c r="F130" s="7" t="inlineStr">
        <is>
          <t>CORE</t>
        </is>
      </c>
      <c r="G130" s="7" t="inlineStr">
        <is>
          <t>03 The 30-Day Content Engine</t>
        </is>
      </c>
      <c r="H130" s="7" t="inlineStr">
        <is>
          <t>Short video</t>
        </is>
      </c>
      <c r="I130" s="7" t="inlineStr">
        <is>
          <t>O03_Video2_Batching.mp4</t>
        </is>
      </c>
      <c r="J130" s="9" t="inlineStr"/>
      <c r="K130" s="7" t="inlineStr">
        <is>
          <t>Batching  Caption: Message ENGINE on WhatsApp: 0905 069 0837 The 30-Day Content Engine: ₦5,000. Do-it-yourself, no guara</t>
        </is>
      </c>
    </row>
    <row r="131">
      <c r="A131" s="7" t="n">
        <v>12</v>
      </c>
      <c r="B131" s="8">
        <f>$B$3+11</f>
        <v/>
      </c>
      <c r="C131" s="7">
        <f>TEXT(B131,"ddd")</f>
        <v/>
      </c>
      <c r="D131" s="7" t="inlineStr">
        <is>
          <t>13:30</t>
        </is>
      </c>
      <c r="E131" s="7" t="inlineStr">
        <is>
          <t>WhatsApp Status</t>
        </is>
      </c>
      <c r="F131" s="7" t="inlineStr">
        <is>
          <t>optional</t>
        </is>
      </c>
      <c r="G131" s="7" t="inlineStr">
        <is>
          <t>03 The 30-Day Content Engine</t>
        </is>
      </c>
      <c r="H131" s="7" t="inlineStr">
        <is>
          <t>What is inside</t>
        </is>
      </c>
      <c r="I131" s="7" t="inlineStr">
        <is>
          <t>O03_Post09_Mockup.png</t>
        </is>
      </c>
      <c r="J131" s="9" t="inlineStr"/>
      <c r="K131" s="7" t="inlineStr">
        <is>
          <t>4 files, one download.  The 30-Day Content Engine: 30-Day Content Engine Guide; 60-Idea Post Bank; 30-Day Content Calend</t>
        </is>
      </c>
    </row>
    <row r="132">
      <c r="A132" s="7" t="n">
        <v>12</v>
      </c>
      <c r="B132" s="8">
        <f>$B$3+11</f>
        <v/>
      </c>
      <c r="C132" s="7">
        <f>TEXT(B132,"ddd")</f>
        <v/>
      </c>
      <c r="D132" s="7" t="inlineStr">
        <is>
          <t>15:00</t>
        </is>
      </c>
      <c r="E132" s="7" t="inlineStr">
        <is>
          <t>Facebook feed</t>
        </is>
      </c>
      <c r="F132" s="7" t="inlineStr">
        <is>
          <t>CORE</t>
        </is>
      </c>
      <c r="G132" s="7" t="inlineStr">
        <is>
          <t>03 The 30-Day Content Engine</t>
        </is>
      </c>
      <c r="H132" s="7" t="inlineStr">
        <is>
          <t>Honest-answer (objection) post</t>
        </is>
      </c>
      <c r="I132" s="7" t="inlineStr">
        <is>
          <t>O03_Post08_Honest-answer.png</t>
        </is>
      </c>
      <c r="J132" s="9" t="inlineStr"/>
      <c r="K132" s="7" t="inlineStr">
        <is>
          <t>No, and we want to be clear about that.  The 30-Day Content Engine is a planning system: a guide, 60 post ideas, a calen</t>
        </is>
      </c>
    </row>
    <row r="133">
      <c r="A133" s="7" t="n">
        <v>12</v>
      </c>
      <c r="B133" s="8">
        <f>$B$3+11</f>
        <v/>
      </c>
      <c r="C133" s="7">
        <f>TEXT(B133,"ddd")</f>
        <v/>
      </c>
      <c r="D133" s="7" t="inlineStr">
        <is>
          <t>16:00</t>
        </is>
      </c>
      <c r="E133" s="7" t="inlineStr">
        <is>
          <t>Instagram Story</t>
        </is>
      </c>
      <c r="F133" s="7" t="inlineStr">
        <is>
          <t>optional</t>
        </is>
      </c>
      <c r="G133" s="7" t="inlineStr">
        <is>
          <t>03 The 30-Day Content Engine</t>
        </is>
      </c>
      <c r="H133" s="7" t="inlineStr">
        <is>
          <t>Price story</t>
        </is>
      </c>
      <c r="I133" s="7" t="inlineStr">
        <is>
          <t>O03_Story2_Price.png</t>
        </is>
      </c>
      <c r="J133" s="9" t="inlineStr"/>
      <c r="K133" s="7" t="inlineStr">
        <is>
          <t>The 30-Day Content Engine: ₦5,000. Estimated replacement cost of what is inside: ₦32,500 (our estimate, not a previous p</t>
        </is>
      </c>
    </row>
    <row r="134">
      <c r="A134" s="7" t="n">
        <v>12</v>
      </c>
      <c r="B134" s="8">
        <f>$B$3+11</f>
        <v/>
      </c>
      <c r="C134" s="7">
        <f>TEXT(B134,"ddd")</f>
        <v/>
      </c>
      <c r="D134" s="7" t="inlineStr">
        <is>
          <t>17:00</t>
        </is>
      </c>
      <c r="E134" s="7" t="inlineStr">
        <is>
          <t>WhatsApp Status</t>
        </is>
      </c>
      <c r="F134" s="7" t="inlineStr">
        <is>
          <t>CORE</t>
        </is>
      </c>
      <c r="G134" s="7" t="inlineStr">
        <is>
          <t>03 The 30-Day Content Engine</t>
        </is>
      </c>
      <c r="H134" s="7" t="inlineStr">
        <is>
          <t>Direct-response post</t>
        </is>
      </c>
      <c r="I134" s="7" t="inlineStr">
        <is>
          <t>O03_Post06_Order.png</t>
        </is>
      </c>
      <c r="J134" s="9" t="inlineStr"/>
      <c r="K134" s="7" t="inlineStr">
        <is>
          <t xml:space="preserve">Want the The 30-Day Content Engine?  Send the word ENGINE on WhatsApp (0905 069 0837) and we will reply with how to pay </t>
        </is>
      </c>
    </row>
    <row r="135">
      <c r="A135" s="7" t="n">
        <v>12</v>
      </c>
      <c r="B135" s="8">
        <f>$B$3+11</f>
        <v/>
      </c>
      <c r="C135" s="7">
        <f>TEXT(B135,"ddd")</f>
        <v/>
      </c>
      <c r="D135" s="7" t="inlineStr">
        <is>
          <t>18:30</t>
        </is>
      </c>
      <c r="E135" s="7" t="inlineStr">
        <is>
          <t>LinkedIn</t>
        </is>
      </c>
      <c r="F135" s="7" t="inlineStr">
        <is>
          <t>optional</t>
        </is>
      </c>
      <c r="G135" s="7" t="inlineStr">
        <is>
          <t>03 The 30-Day Content Engine</t>
        </is>
      </c>
      <c r="H135" s="7" t="inlineStr">
        <is>
          <t>Text post (no media needed)</t>
        </is>
      </c>
      <c r="I135" s="7" t="inlineStr">
        <is>
          <t>O03_LinkedIn2.txt</t>
        </is>
      </c>
      <c r="J135" s="9" t="inlineStr"/>
      <c r="K135" s="7" t="inlineStr">
        <is>
          <t>A content calendar does not need software.  A spreadsheet with a date, a pillar, a format, a hook and a status is enough</t>
        </is>
      </c>
    </row>
    <row r="136">
      <c r="A136" s="7" t="n">
        <v>12</v>
      </c>
      <c r="B136" s="8">
        <f>$B$3+11</f>
        <v/>
      </c>
      <c r="C136" s="7">
        <f>TEXT(B136,"ddd")</f>
        <v/>
      </c>
      <c r="D136" s="7" t="inlineStr">
        <is>
          <t>20:00</t>
        </is>
      </c>
      <c r="E136" s="7" t="inlineStr">
        <is>
          <t>Instagram + Facebook feed</t>
        </is>
      </c>
      <c r="F136" s="7" t="inlineStr">
        <is>
          <t>optional</t>
        </is>
      </c>
      <c r="G136" s="7" t="inlineStr">
        <is>
          <t>03 The 30-Day Content Engine</t>
        </is>
      </c>
      <c r="H136" s="7" t="inlineStr">
        <is>
          <t>Second feed post</t>
        </is>
      </c>
      <c r="I136" s="7" t="inlineStr">
        <is>
          <t>O03_Post04_Tip.png</t>
        </is>
      </c>
      <c r="J136" s="9" t="inlineStr"/>
      <c r="K136" s="7" t="inlineStr">
        <is>
          <t>Posting daily from scratch is exhausting.  Try batching: 1. Pick the week’s 4 ideas. 2. Write all captions in one sittin</t>
        </is>
      </c>
    </row>
    <row r="137">
      <c r="A137" s="7" t="n">
        <v>12</v>
      </c>
      <c r="B137" s="8">
        <f>$B$3+11</f>
        <v/>
      </c>
      <c r="C137" s="7">
        <f>TEXT(B137,"ddd")</f>
        <v/>
      </c>
      <c r="D137" s="7" t="inlineStr">
        <is>
          <t>21:00</t>
        </is>
      </c>
      <c r="E137" s="7" t="inlineStr">
        <is>
          <t>WhatsApp Status</t>
        </is>
      </c>
      <c r="F137" s="7" t="inlineStr">
        <is>
          <t>optional</t>
        </is>
      </c>
      <c r="G137" s="7" t="inlineStr">
        <is>
          <t>03 The 30-Day Content Engine</t>
        </is>
      </c>
      <c r="H137" s="7" t="inlineStr">
        <is>
          <t>Banner or price graphic</t>
        </is>
      </c>
      <c r="I137" s="7" t="inlineStr">
        <is>
          <t>O03_Banner.png</t>
        </is>
      </c>
      <c r="J137" s="9" t="inlineStr"/>
      <c r="K137" s="7" t="inlineStr">
        <is>
          <t>The 30-Day Content Engine. ₦5,000.  A realistic one-person content system: pillars, 60 post ideas, hook formulas and a 3</t>
        </is>
      </c>
    </row>
    <row r="138">
      <c r="A138" s="7" t="n">
        <v>13</v>
      </c>
      <c r="B138" s="8">
        <f>$B$3+12</f>
        <v/>
      </c>
      <c r="C138" s="7">
        <f>TEXT(B138,"ddd")</f>
        <v/>
      </c>
      <c r="D138" s="7" t="inlineStr">
        <is>
          <t>08:00</t>
        </is>
      </c>
      <c r="E138" s="7" t="inlineStr">
        <is>
          <t>Instagram + Facebook feed</t>
        </is>
      </c>
      <c r="F138" s="7" t="inlineStr">
        <is>
          <t>CORE</t>
        </is>
      </c>
      <c r="G138" s="7" t="inlineStr">
        <is>
          <t>04 The One-Offer Landing Page Kit</t>
        </is>
      </c>
      <c r="H138" s="7" t="inlineStr">
        <is>
          <t>Carousel or tip post</t>
        </is>
      </c>
      <c r="I138" s="7" t="inlineStr">
        <is>
          <t>O04_Carousel2_Slide1.png, O04_Carousel2_Slide2.png, O04_Carousel2_Slide3.png, O04_Carousel2_Slide4.png, O04_Carousel2_Slide5.png, O04_Carousel2_Slide6.png</t>
        </is>
      </c>
      <c r="J138" s="9" t="inlineStr"/>
      <c r="K138" s="7" t="inlineStr">
        <is>
          <t>Landing page vs homepage  They do different jobs.  One-Offer Landing Page Kit, ₦5,000. Message PAGE on WhatsApp: 0905 06</t>
        </is>
      </c>
    </row>
    <row r="139">
      <c r="A139" s="7" t="n">
        <v>13</v>
      </c>
      <c r="B139" s="8">
        <f>$B$3+12</f>
        <v/>
      </c>
      <c r="C139" s="7">
        <f>TEXT(B139,"ddd")</f>
        <v/>
      </c>
      <c r="D139" s="7" t="inlineStr">
        <is>
          <t>09:00</t>
        </is>
      </c>
      <c r="E139" s="7" t="inlineStr">
        <is>
          <t>WhatsApp Status</t>
        </is>
      </c>
      <c r="F139" s="7" t="inlineStr">
        <is>
          <t>optional</t>
        </is>
      </c>
      <c r="G139" s="7" t="inlineStr">
        <is>
          <t>04 The One-Offer Landing Page Kit</t>
        </is>
      </c>
      <c r="H139" s="7" t="inlineStr">
        <is>
          <t>Launch / promo post</t>
        </is>
      </c>
      <c r="I139" s="7" t="inlineStr">
        <is>
          <t>O04_Post10_Whats-inside.png</t>
        </is>
      </c>
      <c r="J139" s="9" t="inlineStr"/>
      <c r="K139" s="7" t="inlineStr">
        <is>
          <t>The One-Offer Landing Page Kit: 4 files for ₦5,000.  - One-Offer Landing Page Guide (PDF + editable DOCX) - Landing Page</t>
        </is>
      </c>
    </row>
    <row r="140">
      <c r="A140" s="7" t="n">
        <v>13</v>
      </c>
      <c r="B140" s="8">
        <f>$B$3+12</f>
        <v/>
      </c>
      <c r="C140" s="7">
        <f>TEXT(B140,"ddd")</f>
        <v/>
      </c>
      <c r="D140" s="7" t="inlineStr">
        <is>
          <t>10:30</t>
        </is>
      </c>
      <c r="E140" s="7" t="inlineStr">
        <is>
          <t>Instagram Story</t>
        </is>
      </c>
      <c r="F140" s="7" t="inlineStr">
        <is>
          <t>optional</t>
        </is>
      </c>
      <c r="G140" s="7" t="inlineStr">
        <is>
          <t>04 The One-Offer Landing Page Kit</t>
        </is>
      </c>
      <c r="H140" s="7" t="inlineStr">
        <is>
          <t>New-offer story</t>
        </is>
      </c>
      <c r="I140" s="7" t="inlineStr">
        <is>
          <t>O04_Story1_New.png</t>
        </is>
      </c>
      <c r="J140" s="9" t="inlineStr"/>
      <c r="K140" s="7" t="inlineStr">
        <is>
          <t>New: The One-Offer Landing Page Kit. Tap, then message PAGE on WhatsApp. Sticker text suggestion: “Message PAGE” Link or</t>
        </is>
      </c>
    </row>
    <row r="141">
      <c r="A141" s="7" t="n">
        <v>13</v>
      </c>
      <c r="B141" s="8">
        <f>$B$3+12</f>
        <v/>
      </c>
      <c r="C141" s="7">
        <f>TEXT(B141,"ddd")</f>
        <v/>
      </c>
      <c r="D141" s="7" t="inlineStr">
        <is>
          <t>12:30</t>
        </is>
      </c>
      <c r="E141" s="7" t="inlineStr">
        <is>
          <t>Instagram Reel + Facebook video</t>
        </is>
      </c>
      <c r="F141" s="7" t="inlineStr">
        <is>
          <t>CORE</t>
        </is>
      </c>
      <c r="G141" s="7" t="inlineStr">
        <is>
          <t>04 The One-Offer Landing Page Kit</t>
        </is>
      </c>
      <c r="H141" s="7" t="inlineStr">
        <is>
          <t>Short video</t>
        </is>
      </c>
      <c r="I141" s="7" t="inlineStr">
        <is>
          <t>O04_Video2_Phone-check.mp4</t>
        </is>
      </c>
      <c r="J141" s="9" t="inlineStr"/>
      <c r="K141" s="7" t="inlineStr">
        <is>
          <t>Phone check  Caption: Message PAGE on WhatsApp: 0905 069 0837 The One-Offer Landing Page Kit: ₦5,000. Do-it-yourself, no</t>
        </is>
      </c>
    </row>
    <row r="142">
      <c r="A142" s="7" t="n">
        <v>13</v>
      </c>
      <c r="B142" s="8">
        <f>$B$3+12</f>
        <v/>
      </c>
      <c r="C142" s="7">
        <f>TEXT(B142,"ddd")</f>
        <v/>
      </c>
      <c r="D142" s="7" t="inlineStr">
        <is>
          <t>13:30</t>
        </is>
      </c>
      <c r="E142" s="7" t="inlineStr">
        <is>
          <t>WhatsApp Status</t>
        </is>
      </c>
      <c r="F142" s="7" t="inlineStr">
        <is>
          <t>optional</t>
        </is>
      </c>
      <c r="G142" s="7" t="inlineStr">
        <is>
          <t>04 The One-Offer Landing Page Kit</t>
        </is>
      </c>
      <c r="H142" s="7" t="inlineStr">
        <is>
          <t>What is inside</t>
        </is>
      </c>
      <c r="I142" s="7" t="inlineStr">
        <is>
          <t>O04_Post09_Mockup.png</t>
        </is>
      </c>
      <c r="J142" s="9" t="inlineStr"/>
      <c r="K142" s="7" t="inlineStr">
        <is>
          <t>4 files, one download.  The One-Offer Landing Page Kit: One-Offer Landing Page Guide; Landing Page Copy Template with Wo</t>
        </is>
      </c>
    </row>
    <row r="143">
      <c r="A143" s="7" t="n">
        <v>13</v>
      </c>
      <c r="B143" s="8">
        <f>$B$3+12</f>
        <v/>
      </c>
      <c r="C143" s="7">
        <f>TEXT(B143,"ddd")</f>
        <v/>
      </c>
      <c r="D143" s="7" t="inlineStr">
        <is>
          <t>15:00</t>
        </is>
      </c>
      <c r="E143" s="7" t="inlineStr">
        <is>
          <t>Facebook feed</t>
        </is>
      </c>
      <c r="F143" s="7" t="inlineStr">
        <is>
          <t>CORE</t>
        </is>
      </c>
      <c r="G143" s="7" t="inlineStr">
        <is>
          <t>04 The One-Offer Landing Page Kit</t>
        </is>
      </c>
      <c r="H143" s="7" t="inlineStr">
        <is>
          <t>Honest-answer (objection) post</t>
        </is>
      </c>
      <c r="I143" s="7" t="inlineStr">
        <is>
          <t>O04_Post08_Honest-answer.png</t>
        </is>
      </c>
      <c r="J143" s="9" t="inlineStr"/>
      <c r="K143" s="7" t="inlineStr">
        <is>
          <t xml:space="preserve">Honest answer: no. The One-Offer Landing Page Kit is do-it-yourself: guide, copy template, HTML starter and checklist.  </t>
        </is>
      </c>
    </row>
    <row r="144">
      <c r="A144" s="7" t="n">
        <v>13</v>
      </c>
      <c r="B144" s="8">
        <f>$B$3+12</f>
        <v/>
      </c>
      <c r="C144" s="7">
        <f>TEXT(B144,"ddd")</f>
        <v/>
      </c>
      <c r="D144" s="7" t="inlineStr">
        <is>
          <t>16:00</t>
        </is>
      </c>
      <c r="E144" s="7" t="inlineStr">
        <is>
          <t>Instagram Story</t>
        </is>
      </c>
      <c r="F144" s="7" t="inlineStr">
        <is>
          <t>optional</t>
        </is>
      </c>
      <c r="G144" s="7" t="inlineStr">
        <is>
          <t>04 The One-Offer Landing Page Kit</t>
        </is>
      </c>
      <c r="H144" s="7" t="inlineStr">
        <is>
          <t>Price story</t>
        </is>
      </c>
      <c r="I144" s="7" t="inlineStr">
        <is>
          <t>O04_Story2_Price.png</t>
        </is>
      </c>
      <c r="J144" s="9" t="inlineStr"/>
      <c r="K144" s="7" t="inlineStr">
        <is>
          <t>The One-Offer Landing Page Kit: ₦5,000. Estimated replacement cost of what is inside: ₦32,500 (our estimate, not a previ</t>
        </is>
      </c>
    </row>
    <row r="145">
      <c r="A145" s="7" t="n">
        <v>13</v>
      </c>
      <c r="B145" s="8">
        <f>$B$3+12</f>
        <v/>
      </c>
      <c r="C145" s="7">
        <f>TEXT(B145,"ddd")</f>
        <v/>
      </c>
      <c r="D145" s="7" t="inlineStr">
        <is>
          <t>17:00</t>
        </is>
      </c>
      <c r="E145" s="7" t="inlineStr">
        <is>
          <t>WhatsApp Status</t>
        </is>
      </c>
      <c r="F145" s="7" t="inlineStr">
        <is>
          <t>CORE</t>
        </is>
      </c>
      <c r="G145" s="7" t="inlineStr">
        <is>
          <t>04 The One-Offer Landing Page Kit</t>
        </is>
      </c>
      <c r="H145" s="7" t="inlineStr">
        <is>
          <t>Direct-response post</t>
        </is>
      </c>
      <c r="I145" s="7" t="inlineStr">
        <is>
          <t>O04_Post06_Order.png</t>
        </is>
      </c>
      <c r="J145" s="9" t="inlineStr"/>
      <c r="K145" s="7" t="inlineStr">
        <is>
          <t>Want the The One-Offer Landing Page Kit?  Send the word PAGE on WhatsApp (0905 069 0837) and we will reply with how to p</t>
        </is>
      </c>
    </row>
    <row r="146">
      <c r="A146" s="7" t="n">
        <v>13</v>
      </c>
      <c r="B146" s="8">
        <f>$B$3+12</f>
        <v/>
      </c>
      <c r="C146" s="7">
        <f>TEXT(B146,"ddd")</f>
        <v/>
      </c>
      <c r="D146" s="7" t="inlineStr">
        <is>
          <t>18:30</t>
        </is>
      </c>
      <c r="E146" s="7" t="inlineStr">
        <is>
          <t>LinkedIn</t>
        </is>
      </c>
      <c r="F146" s="7" t="inlineStr">
        <is>
          <t>optional</t>
        </is>
      </c>
      <c r="G146" s="7" t="inlineStr">
        <is>
          <t>04 The One-Offer Landing Page Kit</t>
        </is>
      </c>
      <c r="H146" s="7" t="inlineStr">
        <is>
          <t>Text post (no media needed)</t>
        </is>
      </c>
      <c r="I146" s="7" t="inlineStr">
        <is>
          <t>O04_LinkedIn2.txt</t>
        </is>
      </c>
      <c r="J146" s="9" t="inlineStr"/>
      <c r="K146" s="7" t="inlineStr">
        <is>
          <t>Common landing page mistake: three different buttons, none of them clear.  Pick one action: WhatsApp, book or buy. Repea</t>
        </is>
      </c>
    </row>
    <row r="147">
      <c r="A147" s="7" t="n">
        <v>13</v>
      </c>
      <c r="B147" s="8">
        <f>$B$3+12</f>
        <v/>
      </c>
      <c r="C147" s="7">
        <f>TEXT(B147,"ddd")</f>
        <v/>
      </c>
      <c r="D147" s="7" t="inlineStr">
        <is>
          <t>20:00</t>
        </is>
      </c>
      <c r="E147" s="7" t="inlineStr">
        <is>
          <t>Instagram + Facebook feed</t>
        </is>
      </c>
      <c r="F147" s="7" t="inlineStr">
        <is>
          <t>optional</t>
        </is>
      </c>
      <c r="G147" s="7" t="inlineStr">
        <is>
          <t>04 The One-Offer Landing Page Kit</t>
        </is>
      </c>
      <c r="H147" s="7" t="inlineStr">
        <is>
          <t>Second feed post</t>
        </is>
      </c>
      <c r="I147" s="7" t="inlineStr">
        <is>
          <t>O04_Post04_Tip.png</t>
        </is>
      </c>
      <c r="J147" s="9" t="inlineStr"/>
      <c r="K147" s="7" t="inlineStr">
        <is>
          <t>1. Headline 2. Short promise 3. Who it is for 4. What you get 5. How it works 6. Proof (only real proof) 7. Price 8. FAQ</t>
        </is>
      </c>
    </row>
    <row r="148">
      <c r="A148" s="7" t="n">
        <v>13</v>
      </c>
      <c r="B148" s="8">
        <f>$B$3+12</f>
        <v/>
      </c>
      <c r="C148" s="7">
        <f>TEXT(B148,"ddd")</f>
        <v/>
      </c>
      <c r="D148" s="7" t="inlineStr">
        <is>
          <t>21:00</t>
        </is>
      </c>
      <c r="E148" s="7" t="inlineStr">
        <is>
          <t>WhatsApp Status</t>
        </is>
      </c>
      <c r="F148" s="7" t="inlineStr">
        <is>
          <t>optional</t>
        </is>
      </c>
      <c r="G148" s="7" t="inlineStr">
        <is>
          <t>04 The One-Offer Landing Page Kit</t>
        </is>
      </c>
      <c r="H148" s="7" t="inlineStr">
        <is>
          <t>Banner or price graphic</t>
        </is>
      </c>
      <c r="I148" s="7" t="inlineStr">
        <is>
          <t>O04_Banner.png</t>
        </is>
      </c>
      <c r="J148" s="9" t="inlineStr"/>
      <c r="K148" s="7" t="inlineStr">
        <is>
          <t>The One-Offer Landing Page Kit. ₦5,000.  Plan, write and launch a single-purpose page for one offer, with a fill-in copy</t>
        </is>
      </c>
    </row>
    <row r="149">
      <c r="A149" s="7" t="n">
        <v>14</v>
      </c>
      <c r="B149" s="8">
        <f>$B$3+13</f>
        <v/>
      </c>
      <c r="C149" s="7">
        <f>TEXT(B149,"ddd")</f>
        <v/>
      </c>
      <c r="D149" s="7" t="inlineStr">
        <is>
          <t>08:00</t>
        </is>
      </c>
      <c r="E149" s="7" t="inlineStr">
        <is>
          <t>Instagram + Facebook feed</t>
        </is>
      </c>
      <c r="F149" s="7" t="inlineStr">
        <is>
          <t>CORE</t>
        </is>
      </c>
      <c r="G149" s="7" t="inlineStr">
        <is>
          <t>05 The Lagos Local Visibility Starter</t>
        </is>
      </c>
      <c r="H149" s="7" t="inlineStr">
        <is>
          <t>Carousel or tip post</t>
        </is>
      </c>
      <c r="I149" s="7" t="inlineStr">
        <is>
          <t>O05_Carousel2_Slide1.png, O05_Carousel2_Slide2.png, O05_Carousel2_Slide3.png, O05_Carousel2_Slide4.png, O05_Carousel2_Slide5.png, O05_Carousel2_Slide6.png</t>
        </is>
      </c>
      <c r="J149" s="9" t="inlineStr"/>
      <c r="K149" s="7" t="inlineStr">
        <is>
          <t xml:space="preserve">Profile checklist: the basics  Six things to get right first.  Lagos Local Visibility Starter, ₦5,000. Message LOCAL on </t>
        </is>
      </c>
    </row>
    <row r="150">
      <c r="A150" s="7" t="n">
        <v>14</v>
      </c>
      <c r="B150" s="8">
        <f>$B$3+13</f>
        <v/>
      </c>
      <c r="C150" s="7">
        <f>TEXT(B150,"ddd")</f>
        <v/>
      </c>
      <c r="D150" s="7" t="inlineStr">
        <is>
          <t>09:00</t>
        </is>
      </c>
      <c r="E150" s="7" t="inlineStr">
        <is>
          <t>WhatsApp Status</t>
        </is>
      </c>
      <c r="F150" s="7" t="inlineStr">
        <is>
          <t>optional</t>
        </is>
      </c>
      <c r="G150" s="7" t="inlineStr">
        <is>
          <t>05 The Lagos Local Visibility Starter</t>
        </is>
      </c>
      <c r="H150" s="7" t="inlineStr">
        <is>
          <t>Launch / promo post</t>
        </is>
      </c>
      <c r="I150" s="7" t="inlineStr">
        <is>
          <t>O05_Post10_Whats-inside.png</t>
        </is>
      </c>
      <c r="J150" s="9" t="inlineStr"/>
      <c r="K150" s="7" t="inlineStr">
        <is>
          <t>The Lagos Local Visibility Starter: 4 files for ₦5,000.  - Local Visibility Guide (PDF + editable DOCX) - Keyword and Pa</t>
        </is>
      </c>
    </row>
    <row r="151">
      <c r="A151" s="7" t="n">
        <v>14</v>
      </c>
      <c r="B151" s="8">
        <f>$B$3+13</f>
        <v/>
      </c>
      <c r="C151" s="7">
        <f>TEXT(B151,"ddd")</f>
        <v/>
      </c>
      <c r="D151" s="7" t="inlineStr">
        <is>
          <t>10:30</t>
        </is>
      </c>
      <c r="E151" s="7" t="inlineStr">
        <is>
          <t>Instagram Story</t>
        </is>
      </c>
      <c r="F151" s="7" t="inlineStr">
        <is>
          <t>optional</t>
        </is>
      </c>
      <c r="G151" s="7" t="inlineStr">
        <is>
          <t>05 The Lagos Local Visibility Starter</t>
        </is>
      </c>
      <c r="H151" s="7" t="inlineStr">
        <is>
          <t>New-offer story</t>
        </is>
      </c>
      <c r="I151" s="7" t="inlineStr">
        <is>
          <t>O05_Story1_New.png</t>
        </is>
      </c>
      <c r="J151" s="9" t="inlineStr"/>
      <c r="K151" s="7" t="inlineStr">
        <is>
          <t>New: The Lagos Local Visibility Starter. Tap, then message LOCAL on WhatsApp. Sticker text suggestion: “Message LOCAL” L</t>
        </is>
      </c>
    </row>
    <row r="152">
      <c r="A152" s="7" t="n">
        <v>14</v>
      </c>
      <c r="B152" s="8">
        <f>$B$3+13</f>
        <v/>
      </c>
      <c r="C152" s="7">
        <f>TEXT(B152,"ddd")</f>
        <v/>
      </c>
      <c r="D152" s="7" t="inlineStr">
        <is>
          <t>12:30</t>
        </is>
      </c>
      <c r="E152" s="7" t="inlineStr">
        <is>
          <t>Instagram Reel + Facebook video</t>
        </is>
      </c>
      <c r="F152" s="7" t="inlineStr">
        <is>
          <t>CORE</t>
        </is>
      </c>
      <c r="G152" s="7" t="inlineStr">
        <is>
          <t>05 The Lagos Local Visibility Starter</t>
        </is>
      </c>
      <c r="H152" s="7" t="inlineStr">
        <is>
          <t>Short video</t>
        </is>
      </c>
      <c r="I152" s="7" t="inlineStr">
        <is>
          <t>O05_Video2_Reviews.mp4</t>
        </is>
      </c>
      <c r="J152" s="9" t="inlineStr"/>
      <c r="K152" s="7" t="inlineStr">
        <is>
          <t>Reviews  Caption: Message LOCAL on WhatsApp: 0905 069 0837 The Lagos Local Visibility Starter: ₦5,000. Do-it-yourself, n</t>
        </is>
      </c>
    </row>
    <row r="153">
      <c r="A153" s="7" t="n">
        <v>14</v>
      </c>
      <c r="B153" s="8">
        <f>$B$3+13</f>
        <v/>
      </c>
      <c r="C153" s="7">
        <f>TEXT(B153,"ddd")</f>
        <v/>
      </c>
      <c r="D153" s="7" t="inlineStr">
        <is>
          <t>13:30</t>
        </is>
      </c>
      <c r="E153" s="7" t="inlineStr">
        <is>
          <t>WhatsApp Status</t>
        </is>
      </c>
      <c r="F153" s="7" t="inlineStr">
        <is>
          <t>optional</t>
        </is>
      </c>
      <c r="G153" s="7" t="inlineStr">
        <is>
          <t>05 The Lagos Local Visibility Starter</t>
        </is>
      </c>
      <c r="H153" s="7" t="inlineStr">
        <is>
          <t>What is inside</t>
        </is>
      </c>
      <c r="I153" s="7" t="inlineStr">
        <is>
          <t>O05_Post09_Mockup.png</t>
        </is>
      </c>
      <c r="J153" s="9" t="inlineStr"/>
      <c r="K153" s="7" t="inlineStr">
        <is>
          <t>4 files, one download.  The Lagos Local Visibility Starter: Local Visibility Guide; Keyword and Page Title Worksheet; Go</t>
        </is>
      </c>
    </row>
    <row r="154">
      <c r="A154" s="7" t="n">
        <v>14</v>
      </c>
      <c r="B154" s="8">
        <f>$B$3+13</f>
        <v/>
      </c>
      <c r="C154" s="7">
        <f>TEXT(B154,"ddd")</f>
        <v/>
      </c>
      <c r="D154" s="7" t="inlineStr">
        <is>
          <t>15:00</t>
        </is>
      </c>
      <c r="E154" s="7" t="inlineStr">
        <is>
          <t>Facebook feed</t>
        </is>
      </c>
      <c r="F154" s="7" t="inlineStr">
        <is>
          <t>CORE</t>
        </is>
      </c>
      <c r="G154" s="7" t="inlineStr">
        <is>
          <t>05 The Lagos Local Visibility Starter</t>
        </is>
      </c>
      <c r="H154" s="7" t="inlineStr">
        <is>
          <t>Honest-answer (objection) post</t>
        </is>
      </c>
      <c r="I154" s="7" t="inlineStr">
        <is>
          <t>O05_Post08_Honest-answer.png</t>
        </is>
      </c>
      <c r="J154" s="9" t="inlineStr"/>
      <c r="K154" s="7" t="inlineStr">
        <is>
          <t>The examples are Lagos-based, because that is where the Easywurld team is. The method works for any Nigerian town: profi</t>
        </is>
      </c>
    </row>
    <row r="155">
      <c r="A155" s="7" t="n">
        <v>14</v>
      </c>
      <c r="B155" s="8">
        <f>$B$3+13</f>
        <v/>
      </c>
      <c r="C155" s="7">
        <f>TEXT(B155,"ddd")</f>
        <v/>
      </c>
      <c r="D155" s="7" t="inlineStr">
        <is>
          <t>16:00</t>
        </is>
      </c>
      <c r="E155" s="7" t="inlineStr">
        <is>
          <t>Instagram Story</t>
        </is>
      </c>
      <c r="F155" s="7" t="inlineStr">
        <is>
          <t>optional</t>
        </is>
      </c>
      <c r="G155" s="7" t="inlineStr">
        <is>
          <t>05 The Lagos Local Visibility Starter</t>
        </is>
      </c>
      <c r="H155" s="7" t="inlineStr">
        <is>
          <t>Price story</t>
        </is>
      </c>
      <c r="I155" s="7" t="inlineStr">
        <is>
          <t>O05_Story2_Price.png</t>
        </is>
      </c>
      <c r="J155" s="9" t="inlineStr"/>
      <c r="K155" s="7" t="inlineStr">
        <is>
          <t>The Lagos Local Visibility Starter: ₦5,000. Estimated replacement cost of what is inside: ₦32,500 (our estimate, not a p</t>
        </is>
      </c>
    </row>
    <row r="156">
      <c r="A156" s="7" t="n">
        <v>14</v>
      </c>
      <c r="B156" s="8">
        <f>$B$3+13</f>
        <v/>
      </c>
      <c r="C156" s="7">
        <f>TEXT(B156,"ddd")</f>
        <v/>
      </c>
      <c r="D156" s="7" t="inlineStr">
        <is>
          <t>17:00</t>
        </is>
      </c>
      <c r="E156" s="7" t="inlineStr">
        <is>
          <t>WhatsApp Status</t>
        </is>
      </c>
      <c r="F156" s="7" t="inlineStr">
        <is>
          <t>CORE</t>
        </is>
      </c>
      <c r="G156" s="7" t="inlineStr">
        <is>
          <t>05 The Lagos Local Visibility Starter</t>
        </is>
      </c>
      <c r="H156" s="7" t="inlineStr">
        <is>
          <t>Direct-response post</t>
        </is>
      </c>
      <c r="I156" s="7" t="inlineStr">
        <is>
          <t>O05_Post06_Order.png</t>
        </is>
      </c>
      <c r="J156" s="9" t="inlineStr"/>
      <c r="K156" s="7" t="inlineStr">
        <is>
          <t>Want the The Lagos Local Visibility Starter?  Send the word LOCAL on WhatsApp (0905 069 0837) and we will reply with how</t>
        </is>
      </c>
    </row>
    <row r="157">
      <c r="A157" s="7" t="n">
        <v>14</v>
      </c>
      <c r="B157" s="8">
        <f>$B$3+13</f>
        <v/>
      </c>
      <c r="C157" s="7">
        <f>TEXT(B157,"ddd")</f>
        <v/>
      </c>
      <c r="D157" s="7" t="inlineStr">
        <is>
          <t>18:30</t>
        </is>
      </c>
      <c r="E157" s="7" t="inlineStr">
        <is>
          <t>LinkedIn</t>
        </is>
      </c>
      <c r="F157" s="7" t="inlineStr">
        <is>
          <t>optional</t>
        </is>
      </c>
      <c r="G157" s="7" t="inlineStr">
        <is>
          <t>05 The Lagos Local Visibility Starter</t>
        </is>
      </c>
      <c r="H157" s="7" t="inlineStr">
        <is>
          <t>Text post (no media needed)</t>
        </is>
      </c>
      <c r="I157" s="7" t="inlineStr">
        <is>
          <t>O05_LinkedIn2.txt</t>
        </is>
      </c>
      <c r="J157" s="9" t="inlineStr"/>
      <c r="K157" s="7" t="inlineStr">
        <is>
          <t>A small habit with a big payoff for local businesses: ask every happy customer for a review, every time.  Not with gifts</t>
        </is>
      </c>
    </row>
    <row r="158">
      <c r="A158" s="7" t="n">
        <v>14</v>
      </c>
      <c r="B158" s="8">
        <f>$B$3+13</f>
        <v/>
      </c>
      <c r="C158" s="7">
        <f>TEXT(B158,"ddd")</f>
        <v/>
      </c>
      <c r="D158" s="7" t="inlineStr">
        <is>
          <t>20:00</t>
        </is>
      </c>
      <c r="E158" s="7" t="inlineStr">
        <is>
          <t>Instagram + Facebook feed</t>
        </is>
      </c>
      <c r="F158" s="7" t="inlineStr">
        <is>
          <t>optional</t>
        </is>
      </c>
      <c r="G158" s="7" t="inlineStr">
        <is>
          <t>05 The Lagos Local Visibility Starter</t>
        </is>
      </c>
      <c r="H158" s="7" t="inlineStr">
        <is>
          <t>Second feed post</t>
        </is>
      </c>
      <c r="I158" s="7" t="inlineStr">
        <is>
          <t>O05_Post04_Tip.png</t>
        </is>
      </c>
      <c r="J158" s="9" t="inlineStr"/>
      <c r="K158" s="7" t="inlineStr">
        <is>
          <t>A half-filled profile makes customers guess.  Check you have: - Correct category - Hours (including holidays) - Phone an</t>
        </is>
      </c>
    </row>
    <row r="159">
      <c r="A159" s="7" t="n">
        <v>14</v>
      </c>
      <c r="B159" s="8">
        <f>$B$3+13</f>
        <v/>
      </c>
      <c r="C159" s="7">
        <f>TEXT(B159,"ddd")</f>
        <v/>
      </c>
      <c r="D159" s="7" t="inlineStr">
        <is>
          <t>21:00</t>
        </is>
      </c>
      <c r="E159" s="7" t="inlineStr">
        <is>
          <t>WhatsApp Status</t>
        </is>
      </c>
      <c r="F159" s="7" t="inlineStr">
        <is>
          <t>optional</t>
        </is>
      </c>
      <c r="G159" s="7" t="inlineStr">
        <is>
          <t>05 The Lagos Local Visibility Starter</t>
        </is>
      </c>
      <c r="H159" s="7" t="inlineStr">
        <is>
          <t>Banner or price graphic</t>
        </is>
      </c>
      <c r="I159" s="7" t="inlineStr">
        <is>
          <t>O05_Banner.png</t>
        </is>
      </c>
      <c r="J159" s="9" t="inlineStr"/>
      <c r="K159" s="7" t="inlineStr">
        <is>
          <t>The Lagos Local Visibility Starter. ₦5,000.  A 30-day local search starter: set up your Google Business Profile, fix you</t>
        </is>
      </c>
    </row>
    <row r="160">
      <c r="A160" s="7" t="n">
        <v>15</v>
      </c>
      <c r="B160" s="8">
        <f>$B$3+14</f>
        <v/>
      </c>
      <c r="C160" s="7">
        <f>TEXT(B160,"ddd")</f>
        <v/>
      </c>
      <c r="D160" s="7" t="inlineStr">
        <is>
          <t>08:00</t>
        </is>
      </c>
      <c r="E160" s="7" t="inlineStr">
        <is>
          <t>Instagram + Facebook feed</t>
        </is>
      </c>
      <c r="F160" s="7" t="inlineStr">
        <is>
          <t>CORE</t>
        </is>
      </c>
      <c r="G160" s="7" t="inlineStr">
        <is>
          <t>06 The Clear Message Workbook</t>
        </is>
      </c>
      <c r="H160" s="7" t="inlineStr">
        <is>
          <t>Carousel or tip post</t>
        </is>
      </c>
      <c r="I160" s="7" t="inlineStr">
        <is>
          <t>O06_Carousel2_Slide1.png, O06_Carousel2_Slide2.png, O06_Carousel2_Slide3.png, O06_Carousel2_Slide4.png, O06_Carousel2_Slide5.png, O06_Carousel2_Slide6.png</t>
        </is>
      </c>
      <c r="J160" s="9" t="inlineStr"/>
      <c r="K160" s="7" t="inlineStr">
        <is>
          <t>Five customer interviews  How to learn from real customers.  Clear Message Workbook, ₦5,000. Message MESSAGE on WhatsApp</t>
        </is>
      </c>
    </row>
    <row r="161">
      <c r="A161" s="7" t="n">
        <v>15</v>
      </c>
      <c r="B161" s="8">
        <f>$B$3+14</f>
        <v/>
      </c>
      <c r="C161" s="7">
        <f>TEXT(B161,"ddd")</f>
        <v/>
      </c>
      <c r="D161" s="7" t="inlineStr">
        <is>
          <t>09:00</t>
        </is>
      </c>
      <c r="E161" s="7" t="inlineStr">
        <is>
          <t>WhatsApp Status</t>
        </is>
      </c>
      <c r="F161" s="7" t="inlineStr">
        <is>
          <t>optional</t>
        </is>
      </c>
      <c r="G161" s="7" t="inlineStr">
        <is>
          <t>06 The Clear Message Workbook</t>
        </is>
      </c>
      <c r="H161" s="7" t="inlineStr">
        <is>
          <t>Launch / promo post</t>
        </is>
      </c>
      <c r="I161" s="7" t="inlineStr">
        <is>
          <t>O06_Post10_Whats-inside.png</t>
        </is>
      </c>
      <c r="J161" s="9" t="inlineStr"/>
      <c r="K161" s="7" t="inlineStr">
        <is>
          <t>The Clear Message Workbook: 4 files for ₦5,000.  - Clear Message Workbook (PDF + editable DOCX) - Customer Interview Kit</t>
        </is>
      </c>
    </row>
    <row r="162">
      <c r="A162" s="7" t="n">
        <v>15</v>
      </c>
      <c r="B162" s="8">
        <f>$B$3+14</f>
        <v/>
      </c>
      <c r="C162" s="7">
        <f>TEXT(B162,"ddd")</f>
        <v/>
      </c>
      <c r="D162" s="7" t="inlineStr">
        <is>
          <t>10:30</t>
        </is>
      </c>
      <c r="E162" s="7" t="inlineStr">
        <is>
          <t>Instagram Story</t>
        </is>
      </c>
      <c r="F162" s="7" t="inlineStr">
        <is>
          <t>optional</t>
        </is>
      </c>
      <c r="G162" s="7" t="inlineStr">
        <is>
          <t>06 The Clear Message Workbook</t>
        </is>
      </c>
      <c r="H162" s="7" t="inlineStr">
        <is>
          <t>New-offer story</t>
        </is>
      </c>
      <c r="I162" s="7" t="inlineStr">
        <is>
          <t>O06_Story1_New.png</t>
        </is>
      </c>
      <c r="J162" s="9" t="inlineStr"/>
      <c r="K162" s="7" t="inlineStr">
        <is>
          <t xml:space="preserve">New: The Clear Message Workbook. Tap, then message MESSAGE on WhatsApp. Sticker text suggestion: “Message MESSAGE” Link </t>
        </is>
      </c>
    </row>
    <row r="163">
      <c r="A163" s="7" t="n">
        <v>15</v>
      </c>
      <c r="B163" s="8">
        <f>$B$3+14</f>
        <v/>
      </c>
      <c r="C163" s="7">
        <f>TEXT(B163,"ddd")</f>
        <v/>
      </c>
      <c r="D163" s="7" t="inlineStr">
        <is>
          <t>12:30</t>
        </is>
      </c>
      <c r="E163" s="7" t="inlineStr">
        <is>
          <t>Instagram Reel + Facebook video</t>
        </is>
      </c>
      <c r="F163" s="7" t="inlineStr">
        <is>
          <t>CORE</t>
        </is>
      </c>
      <c r="G163" s="7" t="inlineStr">
        <is>
          <t>06 The Clear Message Workbook</t>
        </is>
      </c>
      <c r="H163" s="7" t="inlineStr">
        <is>
          <t>Short video</t>
        </is>
      </c>
      <c r="I163" s="7" t="inlineStr">
        <is>
          <t>O06_Video2_Ask-five-customers.mp4</t>
        </is>
      </c>
      <c r="J163" s="9" t="inlineStr"/>
      <c r="K163" s="7" t="inlineStr">
        <is>
          <t>Ask five customers  Caption: Message MESSAGE on WhatsApp: 0905 069 0837 The Clear Message Workbook: ₦5,000. Do-it-yourse</t>
        </is>
      </c>
    </row>
    <row r="164">
      <c r="A164" s="7" t="n">
        <v>15</v>
      </c>
      <c r="B164" s="8">
        <f>$B$3+14</f>
        <v/>
      </c>
      <c r="C164" s="7">
        <f>TEXT(B164,"ddd")</f>
        <v/>
      </c>
      <c r="D164" s="7" t="inlineStr">
        <is>
          <t>13:30</t>
        </is>
      </c>
      <c r="E164" s="7" t="inlineStr">
        <is>
          <t>WhatsApp Status</t>
        </is>
      </c>
      <c r="F164" s="7" t="inlineStr">
        <is>
          <t>optional</t>
        </is>
      </c>
      <c r="G164" s="7" t="inlineStr">
        <is>
          <t>06 The Clear Message Workbook</t>
        </is>
      </c>
      <c r="H164" s="7" t="inlineStr">
        <is>
          <t>What is inside</t>
        </is>
      </c>
      <c r="I164" s="7" t="inlineStr">
        <is>
          <t>O06_Post09_Mockup.png</t>
        </is>
      </c>
      <c r="J164" s="9" t="inlineStr"/>
      <c r="K164" s="7" t="inlineStr">
        <is>
          <t>4 files, one download.  The Clear Message Workbook: Clear Message Workbook; Customer Interview Kit; Message Bank; One-Pa</t>
        </is>
      </c>
    </row>
    <row r="165">
      <c r="A165" s="7" t="n">
        <v>15</v>
      </c>
      <c r="B165" s="8">
        <f>$B$3+14</f>
        <v/>
      </c>
      <c r="C165" s="7">
        <f>TEXT(B165,"ddd")</f>
        <v/>
      </c>
      <c r="D165" s="7" t="inlineStr">
        <is>
          <t>15:00</t>
        </is>
      </c>
      <c r="E165" s="7" t="inlineStr">
        <is>
          <t>Facebook feed</t>
        </is>
      </c>
      <c r="F165" s="7" t="inlineStr">
        <is>
          <t>CORE</t>
        </is>
      </c>
      <c r="G165" s="7" t="inlineStr">
        <is>
          <t>06 The Clear Message Workbook</t>
        </is>
      </c>
      <c r="H165" s="7" t="inlineStr">
        <is>
          <t>Honest-answer (objection) post</t>
        </is>
      </c>
      <c r="I165" s="7" t="inlineStr">
        <is>
          <t>O06_Post08_Honest-answer.png</t>
        </is>
      </c>
      <c r="J165" s="9" t="inlineStr"/>
      <c r="K165" s="7" t="inlineStr">
        <is>
          <t>Straight answer: no promises.  The Clear Message Workbook helps you say clearly who you serve and why you are different,</t>
        </is>
      </c>
    </row>
    <row r="166">
      <c r="A166" s="7" t="n">
        <v>15</v>
      </c>
      <c r="B166" s="8">
        <f>$B$3+14</f>
        <v/>
      </c>
      <c r="C166" s="7">
        <f>TEXT(B166,"ddd")</f>
        <v/>
      </c>
      <c r="D166" s="7" t="inlineStr">
        <is>
          <t>16:00</t>
        </is>
      </c>
      <c r="E166" s="7" t="inlineStr">
        <is>
          <t>Instagram Story</t>
        </is>
      </c>
      <c r="F166" s="7" t="inlineStr">
        <is>
          <t>optional</t>
        </is>
      </c>
      <c r="G166" s="7" t="inlineStr">
        <is>
          <t>06 The Clear Message Workbook</t>
        </is>
      </c>
      <c r="H166" s="7" t="inlineStr">
        <is>
          <t>Price story</t>
        </is>
      </c>
      <c r="I166" s="7" t="inlineStr">
        <is>
          <t>O06_Story2_Price.png</t>
        </is>
      </c>
      <c r="J166" s="9" t="inlineStr"/>
      <c r="K166" s="7" t="inlineStr">
        <is>
          <t xml:space="preserve">The Clear Message Workbook: ₦5,000. Estimated replacement cost of what is inside: ₦32,500 (our estimate, not a previous </t>
        </is>
      </c>
    </row>
    <row r="167">
      <c r="A167" s="7" t="n">
        <v>15</v>
      </c>
      <c r="B167" s="8">
        <f>$B$3+14</f>
        <v/>
      </c>
      <c r="C167" s="7">
        <f>TEXT(B167,"ddd")</f>
        <v/>
      </c>
      <c r="D167" s="7" t="inlineStr">
        <is>
          <t>17:00</t>
        </is>
      </c>
      <c r="E167" s="7" t="inlineStr">
        <is>
          <t>WhatsApp Status</t>
        </is>
      </c>
      <c r="F167" s="7" t="inlineStr">
        <is>
          <t>CORE</t>
        </is>
      </c>
      <c r="G167" s="7" t="inlineStr">
        <is>
          <t>06 The Clear Message Workbook</t>
        </is>
      </c>
      <c r="H167" s="7" t="inlineStr">
        <is>
          <t>Direct-response post</t>
        </is>
      </c>
      <c r="I167" s="7" t="inlineStr">
        <is>
          <t>O06_Post06_Order.png</t>
        </is>
      </c>
      <c r="J167" s="9" t="inlineStr"/>
      <c r="K167" s="7" t="inlineStr">
        <is>
          <t>Want the The Clear Message Workbook?  Send the word MESSAGE on WhatsApp (0905 069 0837) and we will reply with how to pa</t>
        </is>
      </c>
    </row>
    <row r="168">
      <c r="A168" s="7" t="n">
        <v>15</v>
      </c>
      <c r="B168" s="8">
        <f>$B$3+14</f>
        <v/>
      </c>
      <c r="C168" s="7">
        <f>TEXT(B168,"ddd")</f>
        <v/>
      </c>
      <c r="D168" s="7" t="inlineStr">
        <is>
          <t>18:30</t>
        </is>
      </c>
      <c r="E168" s="7" t="inlineStr">
        <is>
          <t>LinkedIn</t>
        </is>
      </c>
      <c r="F168" s="7" t="inlineStr">
        <is>
          <t>optional</t>
        </is>
      </c>
      <c r="G168" s="7" t="inlineStr">
        <is>
          <t>06 The Clear Message Workbook</t>
        </is>
      </c>
      <c r="H168" s="7" t="inlineStr">
        <is>
          <t>Text post (no media needed)</t>
        </is>
      </c>
      <c r="I168" s="7" t="inlineStr">
        <is>
          <t>O06_LinkedIn2.txt</t>
        </is>
      </c>
      <c r="J168" s="9" t="inlineStr"/>
      <c r="K168" s="7" t="inlineStr">
        <is>
          <t>Here is a quick test for your bio.  Show it to someone who does not know you. Ask: “who do I help, and with what?”  If t</t>
        </is>
      </c>
    </row>
    <row r="169">
      <c r="A169" s="7" t="n">
        <v>15</v>
      </c>
      <c r="B169" s="8">
        <f>$B$3+14</f>
        <v/>
      </c>
      <c r="C169" s="7">
        <f>TEXT(B169,"ddd")</f>
        <v/>
      </c>
      <c r="D169" s="7" t="inlineStr">
        <is>
          <t>20:00</t>
        </is>
      </c>
      <c r="E169" s="7" t="inlineStr">
        <is>
          <t>Instagram + Facebook feed</t>
        </is>
      </c>
      <c r="F169" s="7" t="inlineStr">
        <is>
          <t>optional</t>
        </is>
      </c>
      <c r="G169" s="7" t="inlineStr">
        <is>
          <t>06 The Clear Message Workbook</t>
        </is>
      </c>
      <c r="H169" s="7" t="inlineStr">
        <is>
          <t>Second feed post</t>
        </is>
      </c>
      <c r="I169" s="7" t="inlineStr">
        <is>
          <t>O06_Post04_Tip.png</t>
        </is>
      </c>
      <c r="J169" s="9" t="inlineStr"/>
      <c r="K169" s="7" t="inlineStr">
        <is>
          <t>Before you change your bio, your website or your pitch, talk to five real customers for ten minutes each.  Ask: - What m</t>
        </is>
      </c>
    </row>
    <row r="170">
      <c r="A170" s="7" t="n">
        <v>15</v>
      </c>
      <c r="B170" s="8">
        <f>$B$3+14</f>
        <v/>
      </c>
      <c r="C170" s="7">
        <f>TEXT(B170,"ddd")</f>
        <v/>
      </c>
      <c r="D170" s="7" t="inlineStr">
        <is>
          <t>21:00</t>
        </is>
      </c>
      <c r="E170" s="7" t="inlineStr">
        <is>
          <t>WhatsApp Status</t>
        </is>
      </c>
      <c r="F170" s="7" t="inlineStr">
        <is>
          <t>optional</t>
        </is>
      </c>
      <c r="G170" s="7" t="inlineStr">
        <is>
          <t>06 The Clear Message Workbook</t>
        </is>
      </c>
      <c r="H170" s="7" t="inlineStr">
        <is>
          <t>Banner or price graphic</t>
        </is>
      </c>
      <c r="I170" s="7" t="inlineStr">
        <is>
          <t>O06_Banner.png</t>
        </is>
      </c>
      <c r="J170" s="9" t="inlineStr"/>
      <c r="K170" s="7" t="inlineStr">
        <is>
          <t>The Clear Message Workbook. ₦5,000.  Work out who you serve, what makes you different and how to say it in one sentence,</t>
        </is>
      </c>
    </row>
    <row r="171">
      <c r="A171" s="7" t="n">
        <v>16</v>
      </c>
      <c r="B171" s="8">
        <f>$B$3+15</f>
        <v/>
      </c>
      <c r="C171" s="7">
        <f>TEXT(B171,"ddd")</f>
        <v/>
      </c>
      <c r="D171" s="7" t="inlineStr">
        <is>
          <t>08:00</t>
        </is>
      </c>
      <c r="E171" s="7" t="inlineStr">
        <is>
          <t>Instagram + Facebook feed</t>
        </is>
      </c>
      <c r="F171" s="7" t="inlineStr">
        <is>
          <t>CORE</t>
        </is>
      </c>
      <c r="G171" s="7" t="inlineStr">
        <is>
          <t>07 The Everyday AI Prompt Desk</t>
        </is>
      </c>
      <c r="H171" s="7" t="inlineStr">
        <is>
          <t>Carousel or tip post</t>
        </is>
      </c>
      <c r="I171" s="7" t="inlineStr">
        <is>
          <t>O07_Carousel2_Slide1.png, O07_Carousel2_Slide2.png, O07_Carousel2_Slide3.png, O07_Carousel2_Slide4.png, O07_Carousel2_Slide5.png, O07_Carousel2_Slide6.png</t>
        </is>
      </c>
      <c r="J171" s="9" t="inlineStr"/>
      <c r="K171" s="7" t="inlineStr">
        <is>
          <t>Safe use of AI in your business  A few simple rules.  Everyday AI Prompt Desk, ₦5,000. Message PROMPTS on WhatsApp: 0905</t>
        </is>
      </c>
    </row>
    <row r="172">
      <c r="A172" s="7" t="n">
        <v>16</v>
      </c>
      <c r="B172" s="8">
        <f>$B$3+15</f>
        <v/>
      </c>
      <c r="C172" s="7">
        <f>TEXT(B172,"ddd")</f>
        <v/>
      </c>
      <c r="D172" s="7" t="inlineStr">
        <is>
          <t>09:00</t>
        </is>
      </c>
      <c r="E172" s="7" t="inlineStr">
        <is>
          <t>WhatsApp Status</t>
        </is>
      </c>
      <c r="F172" s="7" t="inlineStr">
        <is>
          <t>optional</t>
        </is>
      </c>
      <c r="G172" s="7" t="inlineStr">
        <is>
          <t>07 The Everyday AI Prompt Desk</t>
        </is>
      </c>
      <c r="H172" s="7" t="inlineStr">
        <is>
          <t>Launch / promo post</t>
        </is>
      </c>
      <c r="I172" s="7" t="inlineStr">
        <is>
          <t>O07_Post10_Whats-inside.png</t>
        </is>
      </c>
      <c r="J172" s="9" t="inlineStr"/>
      <c r="K172" s="7" t="inlineStr">
        <is>
          <t>The Everyday AI Prompt Desk: 4 files for ₦5,000.  - AI Prompting Guide for Small Business (PDF + editable DOCX) - 60-Pro</t>
        </is>
      </c>
    </row>
    <row r="173">
      <c r="A173" s="7" t="n">
        <v>16</v>
      </c>
      <c r="B173" s="8">
        <f>$B$3+15</f>
        <v/>
      </c>
      <c r="C173" s="7">
        <f>TEXT(B173,"ddd")</f>
        <v/>
      </c>
      <c r="D173" s="7" t="inlineStr">
        <is>
          <t>10:30</t>
        </is>
      </c>
      <c r="E173" s="7" t="inlineStr">
        <is>
          <t>Instagram Story</t>
        </is>
      </c>
      <c r="F173" s="7" t="inlineStr">
        <is>
          <t>optional</t>
        </is>
      </c>
      <c r="G173" s="7" t="inlineStr">
        <is>
          <t>07 The Everyday AI Prompt Desk</t>
        </is>
      </c>
      <c r="H173" s="7" t="inlineStr">
        <is>
          <t>New-offer story</t>
        </is>
      </c>
      <c r="I173" s="7" t="inlineStr">
        <is>
          <t>O07_Story1_New.png</t>
        </is>
      </c>
      <c r="J173" s="9" t="inlineStr"/>
      <c r="K173" s="7" t="inlineStr">
        <is>
          <t>New: The Everyday AI Prompt Desk. Tap, then message PROMPTS on WhatsApp. Sticker text suggestion: “Message PROMPTS” Link</t>
        </is>
      </c>
    </row>
    <row r="174">
      <c r="A174" s="7" t="n">
        <v>16</v>
      </c>
      <c r="B174" s="8">
        <f>$B$3+15</f>
        <v/>
      </c>
      <c r="C174" s="7">
        <f>TEXT(B174,"ddd")</f>
        <v/>
      </c>
      <c r="D174" s="7" t="inlineStr">
        <is>
          <t>12:30</t>
        </is>
      </c>
      <c r="E174" s="7" t="inlineStr">
        <is>
          <t>Instagram Reel + Facebook video</t>
        </is>
      </c>
      <c r="F174" s="7" t="inlineStr">
        <is>
          <t>CORE</t>
        </is>
      </c>
      <c r="G174" s="7" t="inlineStr">
        <is>
          <t>07 The Everyday AI Prompt Desk</t>
        </is>
      </c>
      <c r="H174" s="7" t="inlineStr">
        <is>
          <t>Short video</t>
        </is>
      </c>
      <c r="I174" s="7" t="inlineStr">
        <is>
          <t>O07_Video2_Never-paste.mp4</t>
        </is>
      </c>
      <c r="J174" s="9" t="inlineStr"/>
      <c r="K174" s="7" t="inlineStr">
        <is>
          <t>Never paste  Caption: Message PROMPTS on WhatsApp: 0905 069 0837 The Everyday AI Prompt Desk: ₦5,000. Do-it-yourself, no</t>
        </is>
      </c>
    </row>
    <row r="175">
      <c r="A175" s="7" t="n">
        <v>16</v>
      </c>
      <c r="B175" s="8">
        <f>$B$3+15</f>
        <v/>
      </c>
      <c r="C175" s="7">
        <f>TEXT(B175,"ddd")</f>
        <v/>
      </c>
      <c r="D175" s="7" t="inlineStr">
        <is>
          <t>13:30</t>
        </is>
      </c>
      <c r="E175" s="7" t="inlineStr">
        <is>
          <t>WhatsApp Status</t>
        </is>
      </c>
      <c r="F175" s="7" t="inlineStr">
        <is>
          <t>optional</t>
        </is>
      </c>
      <c r="G175" s="7" t="inlineStr">
        <is>
          <t>07 The Everyday AI Prompt Desk</t>
        </is>
      </c>
      <c r="H175" s="7" t="inlineStr">
        <is>
          <t>What is inside</t>
        </is>
      </c>
      <c r="I175" s="7" t="inlineStr">
        <is>
          <t>O07_Post09_Mockup.png</t>
        </is>
      </c>
      <c r="J175" s="9" t="inlineStr"/>
      <c r="K175" s="7" t="inlineStr">
        <is>
          <t>4 files, one download.  The Everyday AI Prompt Desk: AI Prompting Guide for Small Business; 60-Prompt Library; Enquiry A</t>
        </is>
      </c>
    </row>
    <row r="176">
      <c r="A176" s="7" t="n">
        <v>16</v>
      </c>
      <c r="B176" s="8">
        <f>$B$3+15</f>
        <v/>
      </c>
      <c r="C176" s="7">
        <f>TEXT(B176,"ddd")</f>
        <v/>
      </c>
      <c r="D176" s="7" t="inlineStr">
        <is>
          <t>15:00</t>
        </is>
      </c>
      <c r="E176" s="7" t="inlineStr">
        <is>
          <t>Facebook feed</t>
        </is>
      </c>
      <c r="F176" s="7" t="inlineStr">
        <is>
          <t>CORE</t>
        </is>
      </c>
      <c r="G176" s="7" t="inlineStr">
        <is>
          <t>07 The Everyday AI Prompt Desk</t>
        </is>
      </c>
      <c r="H176" s="7" t="inlineStr">
        <is>
          <t>Honest-answer (objection) post</t>
        </is>
      </c>
      <c r="I176" s="7" t="inlineStr">
        <is>
          <t>O07_Post08_Honest-answer.png</t>
        </is>
      </c>
      <c r="J176" s="9" t="inlineStr"/>
      <c r="K176" s="7" t="inlineStr">
        <is>
          <t>AI can speed up first drafts of captions, replies and documents. It cannot know your customers, your prices or your stan</t>
        </is>
      </c>
    </row>
    <row r="177">
      <c r="A177" s="7" t="n">
        <v>16</v>
      </c>
      <c r="B177" s="8">
        <f>$B$3+15</f>
        <v/>
      </c>
      <c r="C177" s="7">
        <f>TEXT(B177,"ddd")</f>
        <v/>
      </c>
      <c r="D177" s="7" t="inlineStr">
        <is>
          <t>16:00</t>
        </is>
      </c>
      <c r="E177" s="7" t="inlineStr">
        <is>
          <t>Instagram Story</t>
        </is>
      </c>
      <c r="F177" s="7" t="inlineStr">
        <is>
          <t>optional</t>
        </is>
      </c>
      <c r="G177" s="7" t="inlineStr">
        <is>
          <t>07 The Everyday AI Prompt Desk</t>
        </is>
      </c>
      <c r="H177" s="7" t="inlineStr">
        <is>
          <t>Price story</t>
        </is>
      </c>
      <c r="I177" s="7" t="inlineStr">
        <is>
          <t>O07_Story2_Price.png</t>
        </is>
      </c>
      <c r="J177" s="9" t="inlineStr"/>
      <c r="K177" s="7" t="inlineStr">
        <is>
          <t>The Everyday AI Prompt Desk: ₦5,000. Estimated replacement cost of what is inside: ₦35,000 (our estimate, not a previous</t>
        </is>
      </c>
    </row>
    <row r="178">
      <c r="A178" s="7" t="n">
        <v>16</v>
      </c>
      <c r="B178" s="8">
        <f>$B$3+15</f>
        <v/>
      </c>
      <c r="C178" s="7">
        <f>TEXT(B178,"ddd")</f>
        <v/>
      </c>
      <c r="D178" s="7" t="inlineStr">
        <is>
          <t>17:00</t>
        </is>
      </c>
      <c r="E178" s="7" t="inlineStr">
        <is>
          <t>WhatsApp Status</t>
        </is>
      </c>
      <c r="F178" s="7" t="inlineStr">
        <is>
          <t>CORE</t>
        </is>
      </c>
      <c r="G178" s="7" t="inlineStr">
        <is>
          <t>07 The Everyday AI Prompt Desk</t>
        </is>
      </c>
      <c r="H178" s="7" t="inlineStr">
        <is>
          <t>Direct-response post</t>
        </is>
      </c>
      <c r="I178" s="7" t="inlineStr">
        <is>
          <t>O07_Post06_Order.png</t>
        </is>
      </c>
      <c r="J178" s="9" t="inlineStr"/>
      <c r="K178" s="7" t="inlineStr">
        <is>
          <t>Want the The Everyday AI Prompt Desk?  Send the word PROMPTS on WhatsApp (0905 069 0837) and we will reply with how to p</t>
        </is>
      </c>
    </row>
    <row r="179">
      <c r="A179" s="7" t="n">
        <v>16</v>
      </c>
      <c r="B179" s="8">
        <f>$B$3+15</f>
        <v/>
      </c>
      <c r="C179" s="7">
        <f>TEXT(B179,"ddd")</f>
        <v/>
      </c>
      <c r="D179" s="7" t="inlineStr">
        <is>
          <t>18:30</t>
        </is>
      </c>
      <c r="E179" s="7" t="inlineStr">
        <is>
          <t>LinkedIn</t>
        </is>
      </c>
      <c r="F179" s="7" t="inlineStr">
        <is>
          <t>optional</t>
        </is>
      </c>
      <c r="G179" s="7" t="inlineStr">
        <is>
          <t>07 The Everyday AI Prompt Desk</t>
        </is>
      </c>
      <c r="H179" s="7" t="inlineStr">
        <is>
          <t>Text post (no media needed)</t>
        </is>
      </c>
      <c r="I179" s="7" t="inlineStr">
        <is>
          <t>O07_LinkedIn2.txt</t>
        </is>
      </c>
      <c r="J179" s="9" t="inlineStr"/>
      <c r="K179" s="7" t="inlineStr">
        <is>
          <t xml:space="preserve">The best use of AI I have seen in small businesses is boring: first drafts of replies, captions, quotes and summaries.  </t>
        </is>
      </c>
    </row>
    <row r="180">
      <c r="A180" s="7" t="n">
        <v>16</v>
      </c>
      <c r="B180" s="8">
        <f>$B$3+15</f>
        <v/>
      </c>
      <c r="C180" s="7">
        <f>TEXT(B180,"ddd")</f>
        <v/>
      </c>
      <c r="D180" s="7" t="inlineStr">
        <is>
          <t>20:00</t>
        </is>
      </c>
      <c r="E180" s="7" t="inlineStr">
        <is>
          <t>Instagram + Facebook feed</t>
        </is>
      </c>
      <c r="F180" s="7" t="inlineStr">
        <is>
          <t>optional</t>
        </is>
      </c>
      <c r="G180" s="7" t="inlineStr">
        <is>
          <t>07 The Everyday AI Prompt Desk</t>
        </is>
      </c>
      <c r="H180" s="7" t="inlineStr">
        <is>
          <t>Second feed post</t>
        </is>
      </c>
      <c r="I180" s="7" t="inlineStr">
        <is>
          <t>O07_Post04_Tip.png</t>
        </is>
      </c>
      <c r="J180" s="9" t="inlineStr"/>
      <c r="K180" s="7" t="inlineStr">
        <is>
          <t>Before you paste anything into an AI tool, stop and ask: would I be happy if this were seen by someone else?  Never past</t>
        </is>
      </c>
    </row>
    <row r="181">
      <c r="A181" s="7" t="n">
        <v>16</v>
      </c>
      <c r="B181" s="8">
        <f>$B$3+15</f>
        <v/>
      </c>
      <c r="C181" s="7">
        <f>TEXT(B181,"ddd")</f>
        <v/>
      </c>
      <c r="D181" s="7" t="inlineStr">
        <is>
          <t>21:00</t>
        </is>
      </c>
      <c r="E181" s="7" t="inlineStr">
        <is>
          <t>WhatsApp Status</t>
        </is>
      </c>
      <c r="F181" s="7" t="inlineStr">
        <is>
          <t>optional</t>
        </is>
      </c>
      <c r="G181" s="7" t="inlineStr">
        <is>
          <t>07 The Everyday AI Prompt Desk</t>
        </is>
      </c>
      <c r="H181" s="7" t="inlineStr">
        <is>
          <t>Banner or price graphic</t>
        </is>
      </c>
      <c r="I181" s="7" t="inlineStr">
        <is>
          <t>O07_Banner.png</t>
        </is>
      </c>
      <c r="J181" s="9" t="inlineStr"/>
      <c r="K181" s="7" t="inlineStr">
        <is>
          <t>The Everyday AI Prompt Desk. ₦5,000.  60 copy-paste prompts for everyday business tasks, a prompt-writing guide and a te</t>
        </is>
      </c>
    </row>
    <row r="182">
      <c r="A182" s="7" t="n">
        <v>17</v>
      </c>
      <c r="B182" s="8">
        <f>$B$3+16</f>
        <v/>
      </c>
      <c r="C182" s="7">
        <f>TEXT(B182,"ddd")</f>
        <v/>
      </c>
      <c r="D182" s="7" t="inlineStr">
        <is>
          <t>08:00</t>
        </is>
      </c>
      <c r="E182" s="7" t="inlineStr">
        <is>
          <t>Instagram + Facebook feed</t>
        </is>
      </c>
      <c r="F182" s="7" t="inlineStr">
        <is>
          <t>CORE</t>
        </is>
      </c>
      <c r="G182" s="7" t="inlineStr">
        <is>
          <t>08 The Proposal &amp; Report Template Pack</t>
        </is>
      </c>
      <c r="H182" s="7" t="inlineStr">
        <is>
          <t>Carousel or tip post</t>
        </is>
      </c>
      <c r="I182" s="7" t="inlineStr">
        <is>
          <t>O08_Carousel2_Slide1.png, O08_Carousel2_Slide2.png, O08_Carousel2_Slide3.png, O08_Carousel2_Slide4.png, O08_Carousel2_Slide5.png, O08_Carousel2_Slide6.png</t>
        </is>
      </c>
      <c r="J182" s="9" t="inlineStr"/>
      <c r="K182" s="7" t="inlineStr">
        <is>
          <t>Quote vs invoice vs proposal  Three documents, three jobs.  Proposal &amp; Report Template Pack, ₦5,000. Message TEMPLATES o</t>
        </is>
      </c>
    </row>
    <row r="183">
      <c r="A183" s="7" t="n">
        <v>17</v>
      </c>
      <c r="B183" s="8">
        <f>$B$3+16</f>
        <v/>
      </c>
      <c r="C183" s="7">
        <f>TEXT(B183,"ddd")</f>
        <v/>
      </c>
      <c r="D183" s="7" t="inlineStr">
        <is>
          <t>09:00</t>
        </is>
      </c>
      <c r="E183" s="7" t="inlineStr">
        <is>
          <t>WhatsApp Status</t>
        </is>
      </c>
      <c r="F183" s="7" t="inlineStr">
        <is>
          <t>optional</t>
        </is>
      </c>
      <c r="G183" s="7" t="inlineStr">
        <is>
          <t>08 The Proposal &amp; Report Template Pack</t>
        </is>
      </c>
      <c r="H183" s="7" t="inlineStr">
        <is>
          <t>Launch / promo post</t>
        </is>
      </c>
      <c r="I183" s="7" t="inlineStr">
        <is>
          <t>O08_Post10_Whats-inside.png</t>
        </is>
      </c>
      <c r="J183" s="9" t="inlineStr"/>
      <c r="K183" s="7" t="inlineStr">
        <is>
          <t>The Proposal &amp; Report Template Pack: 4 files for ₦5,000.  - Proposals and Reports Guide (PDF + editable DOCX) - Proposal</t>
        </is>
      </c>
    </row>
    <row r="184">
      <c r="A184" s="7" t="n">
        <v>17</v>
      </c>
      <c r="B184" s="8">
        <f>$B$3+16</f>
        <v/>
      </c>
      <c r="C184" s="7">
        <f>TEXT(B184,"ddd")</f>
        <v/>
      </c>
      <c r="D184" s="7" t="inlineStr">
        <is>
          <t>10:30</t>
        </is>
      </c>
      <c r="E184" s="7" t="inlineStr">
        <is>
          <t>Instagram Story</t>
        </is>
      </c>
      <c r="F184" s="7" t="inlineStr">
        <is>
          <t>optional</t>
        </is>
      </c>
      <c r="G184" s="7" t="inlineStr">
        <is>
          <t>08 The Proposal &amp; Report Template Pack</t>
        </is>
      </c>
      <c r="H184" s="7" t="inlineStr">
        <is>
          <t>New-offer story</t>
        </is>
      </c>
      <c r="I184" s="7" t="inlineStr">
        <is>
          <t>O08_Story1_New.png</t>
        </is>
      </c>
      <c r="J184" s="9" t="inlineStr"/>
      <c r="K184" s="7" t="inlineStr">
        <is>
          <t>New: The Proposal &amp; Report Template Pack. Tap, then message TEMPLATES on WhatsApp. Sticker text suggestion: “Message TEM</t>
        </is>
      </c>
    </row>
    <row r="185">
      <c r="A185" s="7" t="n">
        <v>17</v>
      </c>
      <c r="B185" s="8">
        <f>$B$3+16</f>
        <v/>
      </c>
      <c r="C185" s="7">
        <f>TEXT(B185,"ddd")</f>
        <v/>
      </c>
      <c r="D185" s="7" t="inlineStr">
        <is>
          <t>12:30</t>
        </is>
      </c>
      <c r="E185" s="7" t="inlineStr">
        <is>
          <t>Instagram Reel + Facebook video</t>
        </is>
      </c>
      <c r="F185" s="7" t="inlineStr">
        <is>
          <t>CORE</t>
        </is>
      </c>
      <c r="G185" s="7" t="inlineStr">
        <is>
          <t>08 The Proposal &amp; Report Template Pack</t>
        </is>
      </c>
      <c r="H185" s="7" t="inlineStr">
        <is>
          <t>Short video</t>
        </is>
      </c>
      <c r="I185" s="7" t="inlineStr">
        <is>
          <t>O08_Video2_Price-options.mp4</t>
        </is>
      </c>
      <c r="J185" s="9" t="inlineStr"/>
      <c r="K185" s="7" t="inlineStr">
        <is>
          <t>Price options  Caption: Message TEMPLATES on WhatsApp: 0905 069 0837 The Proposal &amp; Report Template Pack: ₦5,000. Do-it-</t>
        </is>
      </c>
    </row>
    <row r="186">
      <c r="A186" s="7" t="n">
        <v>17</v>
      </c>
      <c r="B186" s="8">
        <f>$B$3+16</f>
        <v/>
      </c>
      <c r="C186" s="7">
        <f>TEXT(B186,"ddd")</f>
        <v/>
      </c>
      <c r="D186" s="7" t="inlineStr">
        <is>
          <t>13:30</t>
        </is>
      </c>
      <c r="E186" s="7" t="inlineStr">
        <is>
          <t>WhatsApp Status</t>
        </is>
      </c>
      <c r="F186" s="7" t="inlineStr">
        <is>
          <t>optional</t>
        </is>
      </c>
      <c r="G186" s="7" t="inlineStr">
        <is>
          <t>08 The Proposal &amp; Report Template Pack</t>
        </is>
      </c>
      <c r="H186" s="7" t="inlineStr">
        <is>
          <t>What is inside</t>
        </is>
      </c>
      <c r="I186" s="7" t="inlineStr">
        <is>
          <t>O08_Post09_Mockup.png</t>
        </is>
      </c>
      <c r="J186" s="9" t="inlineStr"/>
      <c r="K186" s="7" t="inlineStr">
        <is>
          <t xml:space="preserve">4 files, one download.  The Proposal &amp; Report Template Pack: Proposals and Reports Guide; Proposal Template with Worked </t>
        </is>
      </c>
    </row>
    <row r="187">
      <c r="A187" s="7" t="n">
        <v>17</v>
      </c>
      <c r="B187" s="8">
        <f>$B$3+16</f>
        <v/>
      </c>
      <c r="C187" s="7">
        <f>TEXT(B187,"ddd")</f>
        <v/>
      </c>
      <c r="D187" s="7" t="inlineStr">
        <is>
          <t>15:00</t>
        </is>
      </c>
      <c r="E187" s="7" t="inlineStr">
        <is>
          <t>Facebook feed</t>
        </is>
      </c>
      <c r="F187" s="7" t="inlineStr">
        <is>
          <t>CORE</t>
        </is>
      </c>
      <c r="G187" s="7" t="inlineStr">
        <is>
          <t>08 The Proposal &amp; Report Template Pack</t>
        </is>
      </c>
      <c r="H187" s="7" t="inlineStr">
        <is>
          <t>Honest-answer (objection) post</t>
        </is>
      </c>
      <c r="I187" s="7" t="inlineStr">
        <is>
          <t>O08_Post08_Honest-answer.png</t>
        </is>
      </c>
      <c r="J187" s="9" t="inlineStr"/>
      <c r="K187" s="7" t="inlineStr">
        <is>
          <t xml:space="preserve">Tax rules vary by business. The Quote and Invoice Workbook has an editable tax-rate cell, so you can set 0% or the rate </t>
        </is>
      </c>
    </row>
    <row r="188">
      <c r="A188" s="7" t="n">
        <v>17</v>
      </c>
      <c r="B188" s="8">
        <f>$B$3+16</f>
        <v/>
      </c>
      <c r="C188" s="7">
        <f>TEXT(B188,"ddd")</f>
        <v/>
      </c>
      <c r="D188" s="7" t="inlineStr">
        <is>
          <t>16:00</t>
        </is>
      </c>
      <c r="E188" s="7" t="inlineStr">
        <is>
          <t>Instagram Story</t>
        </is>
      </c>
      <c r="F188" s="7" t="inlineStr">
        <is>
          <t>optional</t>
        </is>
      </c>
      <c r="G188" s="7" t="inlineStr">
        <is>
          <t>08 The Proposal &amp; Report Template Pack</t>
        </is>
      </c>
      <c r="H188" s="7" t="inlineStr">
        <is>
          <t>Price story</t>
        </is>
      </c>
      <c r="I188" s="7" t="inlineStr">
        <is>
          <t>O08_Story2_Price.png</t>
        </is>
      </c>
      <c r="J188" s="9" t="inlineStr"/>
      <c r="K188" s="7" t="inlineStr">
        <is>
          <t xml:space="preserve">The Proposal &amp; Report Template Pack: ₦5,000. Estimated replacement cost of what is inside: ₦32,500 (our estimate, not a </t>
        </is>
      </c>
    </row>
    <row r="189">
      <c r="A189" s="7" t="n">
        <v>17</v>
      </c>
      <c r="B189" s="8">
        <f>$B$3+16</f>
        <v/>
      </c>
      <c r="C189" s="7">
        <f>TEXT(B189,"ddd")</f>
        <v/>
      </c>
      <c r="D189" s="7" t="inlineStr">
        <is>
          <t>17:00</t>
        </is>
      </c>
      <c r="E189" s="7" t="inlineStr">
        <is>
          <t>WhatsApp Status</t>
        </is>
      </c>
      <c r="F189" s="7" t="inlineStr">
        <is>
          <t>CORE</t>
        </is>
      </c>
      <c r="G189" s="7" t="inlineStr">
        <is>
          <t>08 The Proposal &amp; Report Template Pack</t>
        </is>
      </c>
      <c r="H189" s="7" t="inlineStr">
        <is>
          <t>Direct-response post</t>
        </is>
      </c>
      <c r="I189" s="7" t="inlineStr">
        <is>
          <t>O08_Post06_Order.png</t>
        </is>
      </c>
      <c r="J189" s="9" t="inlineStr"/>
      <c r="K189" s="7" t="inlineStr">
        <is>
          <t>Want the The Proposal &amp; Report Template Pack?  Send the word TEMPLATES on WhatsApp (0905 069 0837) and we will reply wit</t>
        </is>
      </c>
    </row>
    <row r="190">
      <c r="A190" s="7" t="n">
        <v>17</v>
      </c>
      <c r="B190" s="8">
        <f>$B$3+16</f>
        <v/>
      </c>
      <c r="C190" s="7">
        <f>TEXT(B190,"ddd")</f>
        <v/>
      </c>
      <c r="D190" s="7" t="inlineStr">
        <is>
          <t>18:30</t>
        </is>
      </c>
      <c r="E190" s="7" t="inlineStr">
        <is>
          <t>LinkedIn</t>
        </is>
      </c>
      <c r="F190" s="7" t="inlineStr">
        <is>
          <t>optional</t>
        </is>
      </c>
      <c r="G190" s="7" t="inlineStr">
        <is>
          <t>08 The Proposal &amp; Report Template Pack</t>
        </is>
      </c>
      <c r="H190" s="7" t="inlineStr">
        <is>
          <t>Text post (no media needed)</t>
        </is>
      </c>
      <c r="I190" s="7" t="inlineStr">
        <is>
          <t>O08_LinkedIn2.txt</t>
        </is>
      </c>
      <c r="J190" s="9" t="inlineStr"/>
      <c r="K190" s="7" t="inlineStr">
        <is>
          <t>If you send quotes as WhatsApp text or a hastily edited Word file, you are probably spending too long on them.  A reusab</t>
        </is>
      </c>
    </row>
    <row r="191">
      <c r="A191" s="7" t="n">
        <v>17</v>
      </c>
      <c r="B191" s="8">
        <f>$B$3+16</f>
        <v/>
      </c>
      <c r="C191" s="7">
        <f>TEXT(B191,"ddd")</f>
        <v/>
      </c>
      <c r="D191" s="7" t="inlineStr">
        <is>
          <t>20:00</t>
        </is>
      </c>
      <c r="E191" s="7" t="inlineStr">
        <is>
          <t>Instagram + Facebook feed</t>
        </is>
      </c>
      <c r="F191" s="7" t="inlineStr">
        <is>
          <t>optional</t>
        </is>
      </c>
      <c r="G191" s="7" t="inlineStr">
        <is>
          <t>08 The Proposal &amp; Report Template Pack</t>
        </is>
      </c>
      <c r="H191" s="7" t="inlineStr">
        <is>
          <t>Second feed post</t>
        </is>
      </c>
      <c r="I191" s="7" t="inlineStr">
        <is>
          <t>O08_Post04_Tip.png</t>
        </is>
      </c>
      <c r="J191" s="9" t="inlineStr"/>
      <c r="K191" s="7" t="inlineStr">
        <is>
          <t>One big number invites one answer: yes or no.  Try three options (Basic, Standard, Premium) with clear differences. Peop</t>
        </is>
      </c>
    </row>
    <row r="192">
      <c r="A192" s="7" t="n">
        <v>17</v>
      </c>
      <c r="B192" s="8">
        <f>$B$3+16</f>
        <v/>
      </c>
      <c r="C192" s="7">
        <f>TEXT(B192,"ddd")</f>
        <v/>
      </c>
      <c r="D192" s="7" t="inlineStr">
        <is>
          <t>21:00</t>
        </is>
      </c>
      <c r="E192" s="7" t="inlineStr">
        <is>
          <t>WhatsApp Status</t>
        </is>
      </c>
      <c r="F192" s="7" t="inlineStr">
        <is>
          <t>optional</t>
        </is>
      </c>
      <c r="G192" s="7" t="inlineStr">
        <is>
          <t>08 The Proposal &amp; Report Template Pack</t>
        </is>
      </c>
      <c r="H192" s="7" t="inlineStr">
        <is>
          <t>Banner or price graphic</t>
        </is>
      </c>
      <c r="I192" s="7" t="inlineStr">
        <is>
          <t>O08_Banner.png</t>
        </is>
      </c>
      <c r="J192" s="9" t="inlineStr"/>
      <c r="K192" s="7" t="inlineStr">
        <is>
          <t>The Proposal &amp; Report Template Pack. ₦5,000.  Editable proposal, quote, report and summary templates with worked example</t>
        </is>
      </c>
    </row>
    <row r="193">
      <c r="A193" s="7" t="n">
        <v>18</v>
      </c>
      <c r="B193" s="8">
        <f>$B$3+17</f>
        <v/>
      </c>
      <c r="C193" s="7">
        <f>TEXT(B193,"ddd")</f>
        <v/>
      </c>
      <c r="D193" s="7" t="inlineStr">
        <is>
          <t>08:00</t>
        </is>
      </c>
      <c r="E193" s="7" t="inlineStr">
        <is>
          <t>Instagram + Facebook feed</t>
        </is>
      </c>
      <c r="F193" s="7" t="inlineStr">
        <is>
          <t>CORE</t>
        </is>
      </c>
      <c r="G193" s="7" t="inlineStr">
        <is>
          <t>09 The Website Launch &amp; Care Handbook</t>
        </is>
      </c>
      <c r="H193" s="7" t="inlineStr">
        <is>
          <t>Carousel or tip post</t>
        </is>
      </c>
      <c r="I193" s="7" t="inlineStr">
        <is>
          <t>O09_Carousel2_Slide1.png, O09_Carousel2_Slide2.png, O09_Carousel2_Slide3.png, O09_Carousel2_Slide4.png, O09_Carousel2_Slide5.png, O09_Carousel2_Slide6.png</t>
        </is>
      </c>
      <c r="J193" s="9" t="inlineStr"/>
      <c r="K193" s="7" t="inlineStr">
        <is>
          <t>Hiring a web designer  Questions and red flags.  Website Launch &amp; Care Handbook, ₦5,000. Message LAUNCH on WhatsApp: 090</t>
        </is>
      </c>
    </row>
    <row r="194">
      <c r="A194" s="7" t="n">
        <v>18</v>
      </c>
      <c r="B194" s="8">
        <f>$B$3+17</f>
        <v/>
      </c>
      <c r="C194" s="7">
        <f>TEXT(B194,"ddd")</f>
        <v/>
      </c>
      <c r="D194" s="7" t="inlineStr">
        <is>
          <t>09:00</t>
        </is>
      </c>
      <c r="E194" s="7" t="inlineStr">
        <is>
          <t>WhatsApp Status</t>
        </is>
      </c>
      <c r="F194" s="7" t="inlineStr">
        <is>
          <t>optional</t>
        </is>
      </c>
      <c r="G194" s="7" t="inlineStr">
        <is>
          <t>09 The Website Launch &amp; Care Handbook</t>
        </is>
      </c>
      <c r="H194" s="7" t="inlineStr">
        <is>
          <t>Launch / promo post</t>
        </is>
      </c>
      <c r="I194" s="7" t="inlineStr">
        <is>
          <t>O09_Post10_Whats-inside.png</t>
        </is>
      </c>
      <c r="J194" s="9" t="inlineStr"/>
      <c r="K194" s="7" t="inlineStr">
        <is>
          <t>The Website Launch &amp; Care Handbook: 4 files for ₦5,000.  - Website Launch &amp; Care Handbook (PDF + editable DOCX) - Websit</t>
        </is>
      </c>
    </row>
    <row r="195">
      <c r="A195" s="7" t="n">
        <v>18</v>
      </c>
      <c r="B195" s="8">
        <f>$B$3+17</f>
        <v/>
      </c>
      <c r="C195" s="7">
        <f>TEXT(B195,"ddd")</f>
        <v/>
      </c>
      <c r="D195" s="7" t="inlineStr">
        <is>
          <t>10:30</t>
        </is>
      </c>
      <c r="E195" s="7" t="inlineStr">
        <is>
          <t>Instagram Story</t>
        </is>
      </c>
      <c r="F195" s="7" t="inlineStr">
        <is>
          <t>optional</t>
        </is>
      </c>
      <c r="G195" s="7" t="inlineStr">
        <is>
          <t>09 The Website Launch &amp; Care Handbook</t>
        </is>
      </c>
      <c r="H195" s="7" t="inlineStr">
        <is>
          <t>New-offer story</t>
        </is>
      </c>
      <c r="I195" s="7" t="inlineStr">
        <is>
          <t>O09_Story1_New.png</t>
        </is>
      </c>
      <c r="J195" s="9" t="inlineStr"/>
      <c r="K195" s="7" t="inlineStr">
        <is>
          <t>New: The Website Launch &amp; Care Handbook. Tap, then message LAUNCH on WhatsApp. Sticker text suggestion: “Message LAUNCH”</t>
        </is>
      </c>
    </row>
    <row r="196">
      <c r="A196" s="7" t="n">
        <v>18</v>
      </c>
      <c r="B196" s="8">
        <f>$B$3+17</f>
        <v/>
      </c>
      <c r="C196" s="7">
        <f>TEXT(B196,"ddd")</f>
        <v/>
      </c>
      <c r="D196" s="7" t="inlineStr">
        <is>
          <t>12:30</t>
        </is>
      </c>
      <c r="E196" s="7" t="inlineStr">
        <is>
          <t>Instagram Reel + Facebook video</t>
        </is>
      </c>
      <c r="F196" s="7" t="inlineStr">
        <is>
          <t>CORE</t>
        </is>
      </c>
      <c r="G196" s="7" t="inlineStr">
        <is>
          <t>09 The Website Launch &amp; Care Handbook</t>
        </is>
      </c>
      <c r="H196" s="7" t="inlineStr">
        <is>
          <t>Short video</t>
        </is>
      </c>
      <c r="I196" s="7" t="inlineStr">
        <is>
          <t>O09_Video2_Monthly-check.mp4</t>
        </is>
      </c>
      <c r="J196" s="9" t="inlineStr"/>
      <c r="K196" s="7" t="inlineStr">
        <is>
          <t>Monthly check  Caption: Message LAUNCH on WhatsApp: 0905 069 0837 The Website Launch &amp; Care Handbook: ₦5,000. Do-it-your</t>
        </is>
      </c>
    </row>
    <row r="197">
      <c r="A197" s="7" t="n">
        <v>18</v>
      </c>
      <c r="B197" s="8">
        <f>$B$3+17</f>
        <v/>
      </c>
      <c r="C197" s="7">
        <f>TEXT(B197,"ddd")</f>
        <v/>
      </c>
      <c r="D197" s="7" t="inlineStr">
        <is>
          <t>13:30</t>
        </is>
      </c>
      <c r="E197" s="7" t="inlineStr">
        <is>
          <t>WhatsApp Status</t>
        </is>
      </c>
      <c r="F197" s="7" t="inlineStr">
        <is>
          <t>optional</t>
        </is>
      </c>
      <c r="G197" s="7" t="inlineStr">
        <is>
          <t>09 The Website Launch &amp; Care Handbook</t>
        </is>
      </c>
      <c r="H197" s="7" t="inlineStr">
        <is>
          <t>What is inside</t>
        </is>
      </c>
      <c r="I197" s="7" t="inlineStr">
        <is>
          <t>O09_Post09_Mockup.png</t>
        </is>
      </c>
      <c r="J197" s="9" t="inlineStr"/>
      <c r="K197" s="7" t="inlineStr">
        <is>
          <t>4 files, one download.  The Website Launch &amp; Care Handbook: Website Launch &amp; Care Handbook; Website Planning Brief; Laun</t>
        </is>
      </c>
    </row>
    <row r="198">
      <c r="A198" s="7" t="n">
        <v>18</v>
      </c>
      <c r="B198" s="8">
        <f>$B$3+17</f>
        <v/>
      </c>
      <c r="C198" s="7">
        <f>TEXT(B198,"ddd")</f>
        <v/>
      </c>
      <c r="D198" s="7" t="inlineStr">
        <is>
          <t>15:00</t>
        </is>
      </c>
      <c r="E198" s="7" t="inlineStr">
        <is>
          <t>Facebook feed</t>
        </is>
      </c>
      <c r="F198" s="7" t="inlineStr">
        <is>
          <t>CORE</t>
        </is>
      </c>
      <c r="G198" s="7" t="inlineStr">
        <is>
          <t>09 The Website Launch &amp; Care Handbook</t>
        </is>
      </c>
      <c r="H198" s="7" t="inlineStr">
        <is>
          <t>Honest-answer (objection) post</t>
        </is>
      </c>
      <c r="I198" s="7" t="inlineStr">
        <is>
          <t>O09_Post08_Honest-answer.png</t>
        </is>
      </c>
      <c r="J198" s="9" t="inlineStr"/>
      <c r="K198" s="7" t="inlineStr">
        <is>
          <t>No. The Website Launch &amp; Care Handbook does not include hosting, a domain or a website builder.  It helps you understand</t>
        </is>
      </c>
    </row>
    <row r="199">
      <c r="A199" s="7" t="n">
        <v>18</v>
      </c>
      <c r="B199" s="8">
        <f>$B$3+17</f>
        <v/>
      </c>
      <c r="C199" s="7">
        <f>TEXT(B199,"ddd")</f>
        <v/>
      </c>
      <c r="D199" s="7" t="inlineStr">
        <is>
          <t>16:00</t>
        </is>
      </c>
      <c r="E199" s="7" t="inlineStr">
        <is>
          <t>Instagram Story</t>
        </is>
      </c>
      <c r="F199" s="7" t="inlineStr">
        <is>
          <t>optional</t>
        </is>
      </c>
      <c r="G199" s="7" t="inlineStr">
        <is>
          <t>09 The Website Launch &amp; Care Handbook</t>
        </is>
      </c>
      <c r="H199" s="7" t="inlineStr">
        <is>
          <t>Price story</t>
        </is>
      </c>
      <c r="I199" s="7" t="inlineStr">
        <is>
          <t>O09_Story2_Price.png</t>
        </is>
      </c>
      <c r="J199" s="9" t="inlineStr"/>
      <c r="K199" s="7" t="inlineStr">
        <is>
          <t>The Website Launch &amp; Care Handbook: ₦5,000. Estimated replacement cost of what is inside: ₦32,500 (our estimate, not a p</t>
        </is>
      </c>
    </row>
    <row r="200">
      <c r="A200" s="7" t="n">
        <v>18</v>
      </c>
      <c r="B200" s="8">
        <f>$B$3+17</f>
        <v/>
      </c>
      <c r="C200" s="7">
        <f>TEXT(B200,"ddd")</f>
        <v/>
      </c>
      <c r="D200" s="7" t="inlineStr">
        <is>
          <t>17:00</t>
        </is>
      </c>
      <c r="E200" s="7" t="inlineStr">
        <is>
          <t>WhatsApp Status</t>
        </is>
      </c>
      <c r="F200" s="7" t="inlineStr">
        <is>
          <t>CORE</t>
        </is>
      </c>
      <c r="G200" s="7" t="inlineStr">
        <is>
          <t>09 The Website Launch &amp; Care Handbook</t>
        </is>
      </c>
      <c r="H200" s="7" t="inlineStr">
        <is>
          <t>Direct-response post</t>
        </is>
      </c>
      <c r="I200" s="7" t="inlineStr">
        <is>
          <t>O09_Post06_Order.png</t>
        </is>
      </c>
      <c r="J200" s="9" t="inlineStr"/>
      <c r="K200" s="7" t="inlineStr">
        <is>
          <t>Want the The Website Launch &amp; Care Handbook?  Send the word LAUNCH on WhatsApp (0905 069 0837) and we will reply with ho</t>
        </is>
      </c>
    </row>
    <row r="201">
      <c r="A201" s="7" t="n">
        <v>18</v>
      </c>
      <c r="B201" s="8">
        <f>$B$3+17</f>
        <v/>
      </c>
      <c r="C201" s="7">
        <f>TEXT(B201,"ddd")</f>
        <v/>
      </c>
      <c r="D201" s="7" t="inlineStr">
        <is>
          <t>18:30</t>
        </is>
      </c>
      <c r="E201" s="7" t="inlineStr">
        <is>
          <t>LinkedIn</t>
        </is>
      </c>
      <c r="F201" s="7" t="inlineStr">
        <is>
          <t>optional</t>
        </is>
      </c>
      <c r="G201" s="7" t="inlineStr">
        <is>
          <t>09 The Website Launch &amp; Care Handbook</t>
        </is>
      </c>
      <c r="H201" s="7" t="inlineStr">
        <is>
          <t>Text post (no media needed)</t>
        </is>
      </c>
      <c r="I201" s="7" t="inlineStr">
        <is>
          <t>O09_LinkedIn2.txt</t>
        </is>
      </c>
      <c r="J201" s="9" t="inlineStr"/>
      <c r="K201" s="7" t="inlineStr">
        <is>
          <t xml:space="preserve">If you are about to hire a web designer, ask these before you pay: - Who will own the domain, hosting and files? - What </t>
        </is>
      </c>
    </row>
    <row r="202">
      <c r="A202" s="7" t="n">
        <v>18</v>
      </c>
      <c r="B202" s="8">
        <f>$B$3+17</f>
        <v/>
      </c>
      <c r="C202" s="7">
        <f>TEXT(B202,"ddd")</f>
        <v/>
      </c>
      <c r="D202" s="7" t="inlineStr">
        <is>
          <t>20:00</t>
        </is>
      </c>
      <c r="E202" s="7" t="inlineStr">
        <is>
          <t>Instagram + Facebook feed</t>
        </is>
      </c>
      <c r="F202" s="7" t="inlineStr">
        <is>
          <t>optional</t>
        </is>
      </c>
      <c r="G202" s="7" t="inlineStr">
        <is>
          <t>09 The Website Launch &amp; Care Handbook</t>
        </is>
      </c>
      <c r="H202" s="7" t="inlineStr">
        <is>
          <t>Second feed post</t>
        </is>
      </c>
      <c r="I202" s="7" t="inlineStr">
        <is>
          <t>O09_Post04_Tip.png</t>
        </is>
      </c>
      <c r="J202" s="9" t="inlineStr"/>
      <c r="K202" s="7" t="inlineStr">
        <is>
          <t>Websites need small, regular care.  Monthly: - Test the contact form and WhatsApp button - Check for broken links - Make</t>
        </is>
      </c>
    </row>
    <row r="203">
      <c r="A203" s="7" t="n">
        <v>18</v>
      </c>
      <c r="B203" s="8">
        <f>$B$3+17</f>
        <v/>
      </c>
      <c r="C203" s="7">
        <f>TEXT(B203,"ddd")</f>
        <v/>
      </c>
      <c r="D203" s="7" t="inlineStr">
        <is>
          <t>21:00</t>
        </is>
      </c>
      <c r="E203" s="7" t="inlineStr">
        <is>
          <t>WhatsApp Status</t>
        </is>
      </c>
      <c r="F203" s="7" t="inlineStr">
        <is>
          <t>optional</t>
        </is>
      </c>
      <c r="G203" s="7" t="inlineStr">
        <is>
          <t>09 The Website Launch &amp; Care Handbook</t>
        </is>
      </c>
      <c r="H203" s="7" t="inlineStr">
        <is>
          <t>Banner or price graphic</t>
        </is>
      </c>
      <c r="I203" s="7" t="inlineStr">
        <is>
          <t>O09_Banner.png</t>
        </is>
      </c>
      <c r="J203" s="9" t="inlineStr"/>
      <c r="K203" s="7" t="inlineStr">
        <is>
          <t>The Website Launch &amp; Care Handbook. ₦5,000.  Everything between “I need a website” and “it is live and looked after”: pl</t>
        </is>
      </c>
    </row>
    <row r="204">
      <c r="A204" s="7" t="n">
        <v>19</v>
      </c>
      <c r="B204" s="8">
        <f>$B$3+18</f>
        <v/>
      </c>
      <c r="C204" s="7">
        <f>TEXT(B204,"ddd")</f>
        <v/>
      </c>
      <c r="D204" s="7" t="inlineStr">
        <is>
          <t>08:00</t>
        </is>
      </c>
      <c r="E204" s="7" t="inlineStr">
        <is>
          <t>Instagram + Facebook feed</t>
        </is>
      </c>
      <c r="F204" s="7" t="inlineStr">
        <is>
          <t>CORE</t>
        </is>
      </c>
      <c r="G204" s="7" t="inlineStr">
        <is>
          <t>01 The Chat-to-Customer Playbook</t>
        </is>
      </c>
      <c r="H204" s="7" t="inlineStr">
        <is>
          <t>Carousel or tip post</t>
        </is>
      </c>
      <c r="I204" s="7" t="inlineStr">
        <is>
          <t>O01_Carousel3_Slide1.png, O01_Carousel3_Slide2.png, O01_Carousel3_Slide3.png, O01_Carousel3_Slide4.png, O01_Carousel3_Slide5.png, O01_Carousel3_Slide6.png</t>
        </is>
      </c>
      <c r="J204" s="9" t="inlineStr"/>
      <c r="K204" s="7" t="inlineStr">
        <is>
          <t>What is inside the Playbook  A look inside the four files.  Chat-to-Customer Playbook, ₦5,000. Message PLAYBOOK on Whats</t>
        </is>
      </c>
    </row>
    <row r="205">
      <c r="A205" s="7" t="n">
        <v>19</v>
      </c>
      <c r="B205" s="8">
        <f>$B$3+18</f>
        <v/>
      </c>
      <c r="C205" s="7">
        <f>TEXT(B205,"ddd")</f>
        <v/>
      </c>
      <c r="D205" s="7" t="inlineStr">
        <is>
          <t>09:00</t>
        </is>
      </c>
      <c r="E205" s="7" t="inlineStr">
        <is>
          <t>WhatsApp Status</t>
        </is>
      </c>
      <c r="F205" s="7" t="inlineStr">
        <is>
          <t>optional</t>
        </is>
      </c>
      <c r="G205" s="7" t="inlineStr">
        <is>
          <t>01 The Chat-to-Customer Playbook</t>
        </is>
      </c>
      <c r="H205" s="7" t="inlineStr">
        <is>
          <t>Launch / promo post</t>
        </is>
      </c>
      <c r="I205" s="7" t="inlineStr">
        <is>
          <t>O01_Post02_Launch.png</t>
        </is>
      </c>
      <c r="J205" s="9" t="inlineStr"/>
      <c r="K205" s="7" t="inlineStr">
        <is>
          <t>New from Easywurld: The Chat-to-Customer Playbook.  Turn WhatsApp and DM enquiries into paid orders, with scripts, a tra</t>
        </is>
      </c>
    </row>
    <row r="206">
      <c r="A206" s="7" t="n">
        <v>19</v>
      </c>
      <c r="B206" s="8">
        <f>$B$3+18</f>
        <v/>
      </c>
      <c r="C206" s="7">
        <f>TEXT(B206,"ddd")</f>
        <v/>
      </c>
      <c r="D206" s="7" t="inlineStr">
        <is>
          <t>10:30</t>
        </is>
      </c>
      <c r="E206" s="7" t="inlineStr">
        <is>
          <t>Instagram Story</t>
        </is>
      </c>
      <c r="F206" s="7" t="inlineStr">
        <is>
          <t>optional</t>
        </is>
      </c>
      <c r="G206" s="7" t="inlineStr">
        <is>
          <t>01 The Chat-to-Customer Playbook</t>
        </is>
      </c>
      <c r="H206" s="7" t="inlineStr">
        <is>
          <t>New-offer story</t>
        </is>
      </c>
      <c r="I206" s="7" t="inlineStr">
        <is>
          <t>O01_Story1_New.png</t>
        </is>
      </c>
      <c r="J206" s="9" t="inlineStr"/>
      <c r="K206" s="7" t="inlineStr">
        <is>
          <t xml:space="preserve">New: The Chat-to-Customer Playbook. Tap, then message PLAYBOOK on WhatsApp. Sticker text suggestion: “Message PLAYBOOK” </t>
        </is>
      </c>
    </row>
    <row r="207">
      <c r="A207" s="7" t="n">
        <v>19</v>
      </c>
      <c r="B207" s="8">
        <f>$B$3+18</f>
        <v/>
      </c>
      <c r="C207" s="7">
        <f>TEXT(B207,"ddd")</f>
        <v/>
      </c>
      <c r="D207" s="7" t="inlineStr">
        <is>
          <t>12:30</t>
        </is>
      </c>
      <c r="E207" s="7" t="inlineStr">
        <is>
          <t>Instagram Reel + Facebook video</t>
        </is>
      </c>
      <c r="F207" s="7" t="inlineStr">
        <is>
          <t>CORE</t>
        </is>
      </c>
      <c r="G207" s="7" t="inlineStr">
        <is>
          <t>01 The Chat-to-Customer Playbook</t>
        </is>
      </c>
      <c r="H207" s="7" t="inlineStr">
        <is>
          <t>Short video</t>
        </is>
      </c>
      <c r="I207" s="7" t="inlineStr">
        <is>
          <t>O01_Video3_Your-chat-is-your-shop.mp4</t>
        </is>
      </c>
      <c r="J207" s="9" t="inlineStr"/>
      <c r="K207" s="7" t="inlineStr">
        <is>
          <t>Your chat is your shop  Caption: Message PLAYBOOK on WhatsApp: 0905 069 0837 The Chat-to-Customer Playbook: ₦5,000. Do-i</t>
        </is>
      </c>
    </row>
    <row r="208">
      <c r="A208" s="7" t="n">
        <v>19</v>
      </c>
      <c r="B208" s="8">
        <f>$B$3+18</f>
        <v/>
      </c>
      <c r="C208" s="7">
        <f>TEXT(B208,"ddd")</f>
        <v/>
      </c>
      <c r="D208" s="7" t="inlineStr">
        <is>
          <t>13:30</t>
        </is>
      </c>
      <c r="E208" s="7" t="inlineStr">
        <is>
          <t>WhatsApp Status</t>
        </is>
      </c>
      <c r="F208" s="7" t="inlineStr">
        <is>
          <t>optional</t>
        </is>
      </c>
      <c r="G208" s="7" t="inlineStr">
        <is>
          <t>01 The Chat-to-Customer Playbook</t>
        </is>
      </c>
      <c r="H208" s="7" t="inlineStr">
        <is>
          <t>What is inside</t>
        </is>
      </c>
      <c r="I208" s="7" t="inlineStr">
        <is>
          <t>O01_Post05_Value.png</t>
        </is>
      </c>
      <c r="J208" s="9" t="inlineStr"/>
      <c r="K208" s="7" t="inlineStr">
        <is>
          <t>What is inside the The Chat-to-Customer Playbook, and what we estimate it would cost to produce.  - Chat-to-Customer Pla</t>
        </is>
      </c>
    </row>
    <row r="209">
      <c r="A209" s="7" t="n">
        <v>19</v>
      </c>
      <c r="B209" s="8">
        <f>$B$3+18</f>
        <v/>
      </c>
      <c r="C209" s="7">
        <f>TEXT(B209,"ddd")</f>
        <v/>
      </c>
      <c r="D209" s="7" t="inlineStr">
        <is>
          <t>15:00</t>
        </is>
      </c>
      <c r="E209" s="7" t="inlineStr">
        <is>
          <t>Facebook feed</t>
        </is>
      </c>
      <c r="F209" s="7" t="inlineStr">
        <is>
          <t>CORE</t>
        </is>
      </c>
      <c r="G209" s="7" t="inlineStr">
        <is>
          <t>01 The Chat-to-Customer Playbook</t>
        </is>
      </c>
      <c r="H209" s="7" t="inlineStr">
        <is>
          <t>Honest-answer (objection) post</t>
        </is>
      </c>
      <c r="I209" s="7" t="inlineStr">
        <is>
          <t>O01_Post03_Honest-answer.png</t>
        </is>
      </c>
      <c r="J209" s="9" t="inlineStr"/>
      <c r="K209" s="7" t="inlineStr">
        <is>
          <t xml:space="preserve">Straight answer: no playbook can promise sales.  What the Chat-to-Customer Playbook does: gives you a clear reply flow, </t>
        </is>
      </c>
    </row>
    <row r="210">
      <c r="A210" s="7" t="n">
        <v>19</v>
      </c>
      <c r="B210" s="8">
        <f>$B$3+18</f>
        <v/>
      </c>
      <c r="C210" s="7">
        <f>TEXT(B210,"ddd")</f>
        <v/>
      </c>
      <c r="D210" s="7" t="inlineStr">
        <is>
          <t>16:00</t>
        </is>
      </c>
      <c r="E210" s="7" t="inlineStr">
        <is>
          <t>Instagram Story</t>
        </is>
      </c>
      <c r="F210" s="7" t="inlineStr">
        <is>
          <t>optional</t>
        </is>
      </c>
      <c r="G210" s="7" t="inlineStr">
        <is>
          <t>01 The Chat-to-Customer Playbook</t>
        </is>
      </c>
      <c r="H210" s="7" t="inlineStr">
        <is>
          <t>Price story</t>
        </is>
      </c>
      <c r="I210" s="7" t="inlineStr">
        <is>
          <t>O01_Story2_Price.png</t>
        </is>
      </c>
      <c r="J210" s="9" t="inlineStr"/>
      <c r="K210" s="7" t="inlineStr">
        <is>
          <t>The Chat-to-Customer Playbook: ₦5,000. Estimated replacement cost of what is inside: ₦35,000 (our estimate, not a previo</t>
        </is>
      </c>
    </row>
    <row r="211">
      <c r="A211" s="7" t="n">
        <v>19</v>
      </c>
      <c r="B211" s="8">
        <f>$B$3+18</f>
        <v/>
      </c>
      <c r="C211" s="7">
        <f>TEXT(B211,"ddd")</f>
        <v/>
      </c>
      <c r="D211" s="7" t="inlineStr">
        <is>
          <t>17:00</t>
        </is>
      </c>
      <c r="E211" s="7" t="inlineStr">
        <is>
          <t>WhatsApp Status</t>
        </is>
      </c>
      <c r="F211" s="7" t="inlineStr">
        <is>
          <t>CORE</t>
        </is>
      </c>
      <c r="G211" s="7" t="inlineStr">
        <is>
          <t>01 The Chat-to-Customer Playbook</t>
        </is>
      </c>
      <c r="H211" s="7" t="inlineStr">
        <is>
          <t>Direct-response post</t>
        </is>
      </c>
      <c r="I211" s="7" t="inlineStr">
        <is>
          <t>O01_Post10_Whats-inside.png</t>
        </is>
      </c>
      <c r="J211" s="9" t="inlineStr"/>
      <c r="K211" s="7" t="inlineStr">
        <is>
          <t>The Chat-to-Customer Playbook: 4 files for ₦5,000.  - Chat-to-Customer Playbook (PDF + editable DOCX) - 36-Script Messag</t>
        </is>
      </c>
    </row>
    <row r="212">
      <c r="A212" s="7" t="n">
        <v>19</v>
      </c>
      <c r="B212" s="8">
        <f>$B$3+18</f>
        <v/>
      </c>
      <c r="C212" s="7">
        <f>TEXT(B212,"ddd")</f>
        <v/>
      </c>
      <c r="D212" s="7" t="inlineStr">
        <is>
          <t>18:30</t>
        </is>
      </c>
      <c r="E212" s="7" t="inlineStr">
        <is>
          <t>LinkedIn</t>
        </is>
      </c>
      <c r="F212" s="7" t="inlineStr">
        <is>
          <t>optional</t>
        </is>
      </c>
      <c r="G212" s="7" t="inlineStr">
        <is>
          <t>01 The Chat-to-Customer Playbook</t>
        </is>
      </c>
      <c r="H212" s="7" t="inlineStr">
        <is>
          <t>Text post (no media needed)</t>
        </is>
      </c>
      <c r="I212" s="7" t="inlineStr">
        <is>
          <t>O01_LinkedIn1.txt</t>
        </is>
      </c>
      <c r="J212" s="9" t="inlineStr"/>
      <c r="K212" s="7" t="inlineStr">
        <is>
          <t>Most small businesses in Nigeria do not lose sales on price. They lose them in the gap between “how much?” and the secon</t>
        </is>
      </c>
    </row>
    <row r="213">
      <c r="A213" s="7" t="n">
        <v>19</v>
      </c>
      <c r="B213" s="8">
        <f>$B$3+18</f>
        <v/>
      </c>
      <c r="C213" s="7">
        <f>TEXT(B213,"ddd")</f>
        <v/>
      </c>
      <c r="D213" s="7" t="inlineStr">
        <is>
          <t>20:00</t>
        </is>
      </c>
      <c r="E213" s="7" t="inlineStr">
        <is>
          <t>Instagram + Facebook feed</t>
        </is>
      </c>
      <c r="F213" s="7" t="inlineStr">
        <is>
          <t>optional</t>
        </is>
      </c>
      <c r="G213" s="7" t="inlineStr">
        <is>
          <t>01 The Chat-to-Customer Playbook</t>
        </is>
      </c>
      <c r="H213" s="7" t="inlineStr">
        <is>
          <t>Second feed post</t>
        </is>
      </c>
      <c r="I213" s="7" t="inlineStr">
        <is>
          <t>O01_Post07_Tip.png</t>
        </is>
      </c>
      <c r="J213" s="9" t="inlineStr"/>
      <c r="K213" s="7" t="inlineStr">
        <is>
          <t>“Hi” is not a reply. Neither is “Yes available.”  A better first reply: - Greet and use their name - Answer the question</t>
        </is>
      </c>
    </row>
    <row r="214">
      <c r="A214" s="7" t="n">
        <v>19</v>
      </c>
      <c r="B214" s="8">
        <f>$B$3+18</f>
        <v/>
      </c>
      <c r="C214" s="7">
        <f>TEXT(B214,"ddd")</f>
        <v/>
      </c>
      <c r="D214" s="7" t="inlineStr">
        <is>
          <t>21:00</t>
        </is>
      </c>
      <c r="E214" s="7" t="inlineStr">
        <is>
          <t>WhatsApp Status</t>
        </is>
      </c>
      <c r="F214" s="7" t="inlineStr">
        <is>
          <t>optional</t>
        </is>
      </c>
      <c r="G214" s="7" t="inlineStr">
        <is>
          <t>01 The Chat-to-Customer Playbook</t>
        </is>
      </c>
      <c r="H214" s="7" t="inlineStr">
        <is>
          <t>Banner or price graphic</t>
        </is>
      </c>
      <c r="I214" s="7" t="inlineStr">
        <is>
          <t>O01_Banner.png</t>
        </is>
      </c>
      <c r="J214" s="9" t="inlineStr"/>
      <c r="K214" s="7" t="inlineStr">
        <is>
          <t>The Chat-to-Customer Playbook. ₦5,000.  Turn WhatsApp and DM enquiries into paid orders, with scripts, a tracker and a f</t>
        </is>
      </c>
    </row>
    <row r="215">
      <c r="A215" s="7" t="n">
        <v>20</v>
      </c>
      <c r="B215" s="8">
        <f>$B$3+19</f>
        <v/>
      </c>
      <c r="C215" s="7">
        <f>TEXT(B215,"ddd")</f>
        <v/>
      </c>
      <c r="D215" s="7" t="inlineStr">
        <is>
          <t>08:00</t>
        </is>
      </c>
      <c r="E215" s="7" t="inlineStr">
        <is>
          <t>Instagram + Facebook feed</t>
        </is>
      </c>
      <c r="F215" s="7" t="inlineStr">
        <is>
          <t>CORE</t>
        </is>
      </c>
      <c r="G215" s="7" t="inlineStr">
        <is>
          <t>02 The Clear Homepage Blueprint</t>
        </is>
      </c>
      <c r="H215" s="7" t="inlineStr">
        <is>
          <t>Carousel or tip post</t>
        </is>
      </c>
      <c r="I215" s="7" t="inlineStr">
        <is>
          <t>O02_Carousel3_Slide1.png, O02_Carousel3_Slide2.png, O02_Carousel3_Slide3.png, O02_Carousel3_Slide4.png, O02_Carousel3_Slide5.png, O02_Carousel3_Slide6.png</t>
        </is>
      </c>
      <c r="J215" s="9" t="inlineStr"/>
      <c r="K215" s="7" t="inlineStr">
        <is>
          <t xml:space="preserve">Before and after: a headline  Fictional example of a headline rewrite.  Clear Homepage Blueprint, ₦5,000. Message CLEAR </t>
        </is>
      </c>
    </row>
    <row r="216">
      <c r="A216" s="7" t="n">
        <v>20</v>
      </c>
      <c r="B216" s="8">
        <f>$B$3+19</f>
        <v/>
      </c>
      <c r="C216" s="7">
        <f>TEXT(B216,"ddd")</f>
        <v/>
      </c>
      <c r="D216" s="7" t="inlineStr">
        <is>
          <t>09:00</t>
        </is>
      </c>
      <c r="E216" s="7" t="inlineStr">
        <is>
          <t>WhatsApp Status</t>
        </is>
      </c>
      <c r="F216" s="7" t="inlineStr">
        <is>
          <t>optional</t>
        </is>
      </c>
      <c r="G216" s="7" t="inlineStr">
        <is>
          <t>02 The Clear Homepage Blueprint</t>
        </is>
      </c>
      <c r="H216" s="7" t="inlineStr">
        <is>
          <t>Launch / promo post</t>
        </is>
      </c>
      <c r="I216" s="7" t="inlineStr">
        <is>
          <t>O02_Post02_Launch.png</t>
        </is>
      </c>
      <c r="J216" s="9" t="inlineStr"/>
      <c r="K216" s="7" t="inlineStr">
        <is>
          <t>New from Easywurld: The Clear Homepage Blueprint.  Rewrite your homepage so a visitor knows what you sell, who it is for</t>
        </is>
      </c>
    </row>
    <row r="217">
      <c r="A217" s="7" t="n">
        <v>20</v>
      </c>
      <c r="B217" s="8">
        <f>$B$3+19</f>
        <v/>
      </c>
      <c r="C217" s="7">
        <f>TEXT(B217,"ddd")</f>
        <v/>
      </c>
      <c r="D217" s="7" t="inlineStr">
        <is>
          <t>10:30</t>
        </is>
      </c>
      <c r="E217" s="7" t="inlineStr">
        <is>
          <t>Instagram Story</t>
        </is>
      </c>
      <c r="F217" s="7" t="inlineStr">
        <is>
          <t>optional</t>
        </is>
      </c>
      <c r="G217" s="7" t="inlineStr">
        <is>
          <t>02 The Clear Homepage Blueprint</t>
        </is>
      </c>
      <c r="H217" s="7" t="inlineStr">
        <is>
          <t>New-offer story</t>
        </is>
      </c>
      <c r="I217" s="7" t="inlineStr">
        <is>
          <t>O02_Story1_New.png</t>
        </is>
      </c>
      <c r="J217" s="9" t="inlineStr"/>
      <c r="K217" s="7" t="inlineStr">
        <is>
          <t>New: The Clear Homepage Blueprint. Tap, then message CLEAR on WhatsApp. Sticker text suggestion: “Message CLEAR” Link or</t>
        </is>
      </c>
    </row>
    <row r="218">
      <c r="A218" s="7" t="n">
        <v>20</v>
      </c>
      <c r="B218" s="8">
        <f>$B$3+19</f>
        <v/>
      </c>
      <c r="C218" s="7">
        <f>TEXT(B218,"ddd")</f>
        <v/>
      </c>
      <c r="D218" s="7" t="inlineStr">
        <is>
          <t>12:30</t>
        </is>
      </c>
      <c r="E218" s="7" t="inlineStr">
        <is>
          <t>Instagram Reel + Facebook video</t>
        </is>
      </c>
      <c r="F218" s="7" t="inlineStr">
        <is>
          <t>CORE</t>
        </is>
      </c>
      <c r="G218" s="7" t="inlineStr">
        <is>
          <t>02 The Clear Homepage Blueprint</t>
        </is>
      </c>
      <c r="H218" s="7" t="inlineStr">
        <is>
          <t>Short video</t>
        </is>
      </c>
      <c r="I218" s="7" t="inlineStr">
        <is>
          <t>O02_Video3_One-button.mp4</t>
        </is>
      </c>
      <c r="J218" s="9" t="inlineStr"/>
      <c r="K218" s="7" t="inlineStr">
        <is>
          <t>One button  Caption: Message CLEAR on WhatsApp: 0905 069 0837 The Clear Homepage Blueprint: ₦5,000. Do-it-yourself, no g</t>
        </is>
      </c>
    </row>
    <row r="219">
      <c r="A219" s="7" t="n">
        <v>20</v>
      </c>
      <c r="B219" s="8">
        <f>$B$3+19</f>
        <v/>
      </c>
      <c r="C219" s="7">
        <f>TEXT(B219,"ddd")</f>
        <v/>
      </c>
      <c r="D219" s="7" t="inlineStr">
        <is>
          <t>13:30</t>
        </is>
      </c>
      <c r="E219" s="7" t="inlineStr">
        <is>
          <t>WhatsApp Status</t>
        </is>
      </c>
      <c r="F219" s="7" t="inlineStr">
        <is>
          <t>optional</t>
        </is>
      </c>
      <c r="G219" s="7" t="inlineStr">
        <is>
          <t>02 The Clear Homepage Blueprint</t>
        </is>
      </c>
      <c r="H219" s="7" t="inlineStr">
        <is>
          <t>What is inside</t>
        </is>
      </c>
      <c r="I219" s="7" t="inlineStr">
        <is>
          <t>O02_Post05_Value.png</t>
        </is>
      </c>
      <c r="J219" s="9" t="inlineStr"/>
      <c r="K219" s="7" t="inlineStr">
        <is>
          <t>What is inside the The Clear Homepage Blueprint, and what we estimate it would cost to produce.  - Clear Homepage Bluepr</t>
        </is>
      </c>
    </row>
    <row r="220">
      <c r="A220" s="7" t="n">
        <v>20</v>
      </c>
      <c r="B220" s="8">
        <f>$B$3+19</f>
        <v/>
      </c>
      <c r="C220" s="7">
        <f>TEXT(B220,"ddd")</f>
        <v/>
      </c>
      <c r="D220" s="7" t="inlineStr">
        <is>
          <t>15:00</t>
        </is>
      </c>
      <c r="E220" s="7" t="inlineStr">
        <is>
          <t>Facebook feed</t>
        </is>
      </c>
      <c r="F220" s="7" t="inlineStr">
        <is>
          <t>CORE</t>
        </is>
      </c>
      <c r="G220" s="7" t="inlineStr">
        <is>
          <t>02 The Clear Homepage Blueprint</t>
        </is>
      </c>
      <c r="H220" s="7" t="inlineStr">
        <is>
          <t>Honest-answer (objection) post</t>
        </is>
      </c>
      <c r="I220" s="7" t="inlineStr">
        <is>
          <t>O02_Post03_Honest-answer.png</t>
        </is>
      </c>
      <c r="J220" s="9" t="inlineStr"/>
      <c r="K220" s="7" t="inlineStr">
        <is>
          <t xml:space="preserve">Good. Most small business sites do not need rebuilding. They need clearer words.  The 20-Point Homepage Audit Scorecard </t>
        </is>
      </c>
    </row>
    <row r="221">
      <c r="A221" s="7" t="n">
        <v>20</v>
      </c>
      <c r="B221" s="8">
        <f>$B$3+19</f>
        <v/>
      </c>
      <c r="C221" s="7">
        <f>TEXT(B221,"ddd")</f>
        <v/>
      </c>
      <c r="D221" s="7" t="inlineStr">
        <is>
          <t>16:00</t>
        </is>
      </c>
      <c r="E221" s="7" t="inlineStr">
        <is>
          <t>Instagram Story</t>
        </is>
      </c>
      <c r="F221" s="7" t="inlineStr">
        <is>
          <t>optional</t>
        </is>
      </c>
      <c r="G221" s="7" t="inlineStr">
        <is>
          <t>02 The Clear Homepage Blueprint</t>
        </is>
      </c>
      <c r="H221" s="7" t="inlineStr">
        <is>
          <t>Price story</t>
        </is>
      </c>
      <c r="I221" s="7" t="inlineStr">
        <is>
          <t>O02_Story2_Price.png</t>
        </is>
      </c>
      <c r="J221" s="9" t="inlineStr"/>
      <c r="K221" s="7" t="inlineStr">
        <is>
          <t>The Clear Homepage Blueprint: ₦5,000. Estimated replacement cost of what is inside: ₦32,500 (our estimate, not a previou</t>
        </is>
      </c>
    </row>
    <row r="222">
      <c r="A222" s="7" t="n">
        <v>20</v>
      </c>
      <c r="B222" s="8">
        <f>$B$3+19</f>
        <v/>
      </c>
      <c r="C222" s="7">
        <f>TEXT(B222,"ddd")</f>
        <v/>
      </c>
      <c r="D222" s="7" t="inlineStr">
        <is>
          <t>17:00</t>
        </is>
      </c>
      <c r="E222" s="7" t="inlineStr">
        <is>
          <t>WhatsApp Status</t>
        </is>
      </c>
      <c r="F222" s="7" t="inlineStr">
        <is>
          <t>CORE</t>
        </is>
      </c>
      <c r="G222" s="7" t="inlineStr">
        <is>
          <t>02 The Clear Homepage Blueprint</t>
        </is>
      </c>
      <c r="H222" s="7" t="inlineStr">
        <is>
          <t>Direct-response post</t>
        </is>
      </c>
      <c r="I222" s="7" t="inlineStr">
        <is>
          <t>O02_Post10_Whats-inside.png</t>
        </is>
      </c>
      <c r="J222" s="9" t="inlineStr"/>
      <c r="K222" s="7" t="inlineStr">
        <is>
          <t>The Clear Homepage Blueprint: 4 files for ₦5,000.  - Clear Homepage Blueprint (PDF + editable DOCX) - Homepage Copy Temp</t>
        </is>
      </c>
    </row>
    <row r="223">
      <c r="A223" s="7" t="n">
        <v>20</v>
      </c>
      <c r="B223" s="8">
        <f>$B$3+19</f>
        <v/>
      </c>
      <c r="C223" s="7">
        <f>TEXT(B223,"ddd")</f>
        <v/>
      </c>
      <c r="D223" s="7" t="inlineStr">
        <is>
          <t>18:30</t>
        </is>
      </c>
      <c r="E223" s="7" t="inlineStr">
        <is>
          <t>LinkedIn</t>
        </is>
      </c>
      <c r="F223" s="7" t="inlineStr">
        <is>
          <t>optional</t>
        </is>
      </c>
      <c r="G223" s="7" t="inlineStr">
        <is>
          <t>02 The Clear Homepage Blueprint</t>
        </is>
      </c>
      <c r="H223" s="7" t="inlineStr">
        <is>
          <t>Text post (no media needed)</t>
        </is>
      </c>
      <c r="I223" s="7" t="inlineStr">
        <is>
          <t>O02_LinkedIn1.txt</t>
        </is>
      </c>
      <c r="J223" s="9" t="inlineStr"/>
      <c r="K223" s="7" t="inlineStr">
        <is>
          <t>A homepage has about ten seconds to answer three questions: what do you do, who is it for, and what should I do next?  I</t>
        </is>
      </c>
    </row>
    <row r="224">
      <c r="A224" s="7" t="n">
        <v>20</v>
      </c>
      <c r="B224" s="8">
        <f>$B$3+19</f>
        <v/>
      </c>
      <c r="C224" s="7">
        <f>TEXT(B224,"ddd")</f>
        <v/>
      </c>
      <c r="D224" s="7" t="inlineStr">
        <is>
          <t>20:00</t>
        </is>
      </c>
      <c r="E224" s="7" t="inlineStr">
        <is>
          <t>Instagram + Facebook feed</t>
        </is>
      </c>
      <c r="F224" s="7" t="inlineStr">
        <is>
          <t>optional</t>
        </is>
      </c>
      <c r="G224" s="7" t="inlineStr">
        <is>
          <t>02 The Clear Homepage Blueprint</t>
        </is>
      </c>
      <c r="H224" s="7" t="inlineStr">
        <is>
          <t>Second feed post</t>
        </is>
      </c>
      <c r="I224" s="7" t="inlineStr">
        <is>
          <t>O02_Post07_Tip.png</t>
        </is>
      </c>
      <c r="J224" s="9" t="inlineStr"/>
      <c r="K224" s="7" t="inlineStr">
        <is>
          <t>Count the buttons on your homepage. If there are six different calls to action, a visitor does not know where to go.  Pi</t>
        </is>
      </c>
    </row>
    <row r="225">
      <c r="A225" s="7" t="n">
        <v>20</v>
      </c>
      <c r="B225" s="8">
        <f>$B$3+19</f>
        <v/>
      </c>
      <c r="C225" s="7">
        <f>TEXT(B225,"ddd")</f>
        <v/>
      </c>
      <c r="D225" s="7" t="inlineStr">
        <is>
          <t>21:00</t>
        </is>
      </c>
      <c r="E225" s="7" t="inlineStr">
        <is>
          <t>WhatsApp Status</t>
        </is>
      </c>
      <c r="F225" s="7" t="inlineStr">
        <is>
          <t>optional</t>
        </is>
      </c>
      <c r="G225" s="7" t="inlineStr">
        <is>
          <t>02 The Clear Homepage Blueprint</t>
        </is>
      </c>
      <c r="H225" s="7" t="inlineStr">
        <is>
          <t>Banner or price graphic</t>
        </is>
      </c>
      <c r="I225" s="7" t="inlineStr">
        <is>
          <t>O02_Post09_Mockup.png</t>
        </is>
      </c>
      <c r="J225" s="9" t="inlineStr"/>
      <c r="K225" s="7" t="inlineStr">
        <is>
          <t>4 files, one download.  The Clear Homepage Blueprint: Clear Homepage Blueprint; Homepage Copy Templates; Homepage Conten</t>
        </is>
      </c>
    </row>
    <row r="226">
      <c r="A226" s="7" t="n">
        <v>21</v>
      </c>
      <c r="B226" s="8">
        <f>$B$3+20</f>
        <v/>
      </c>
      <c r="C226" s="7">
        <f>TEXT(B226,"ddd")</f>
        <v/>
      </c>
      <c r="D226" s="7" t="inlineStr">
        <is>
          <t>08:00</t>
        </is>
      </c>
      <c r="E226" s="7" t="inlineStr">
        <is>
          <t>Instagram + Facebook feed</t>
        </is>
      </c>
      <c r="F226" s="7" t="inlineStr">
        <is>
          <t>CORE</t>
        </is>
      </c>
      <c r="G226" s="7" t="inlineStr">
        <is>
          <t>03 The 30-Day Content Engine</t>
        </is>
      </c>
      <c r="H226" s="7" t="inlineStr">
        <is>
          <t>Carousel or tip post</t>
        </is>
      </c>
      <c r="I226" s="7" t="inlineStr">
        <is>
          <t>O03_Carousel3_Slide1.png, O03_Carousel3_Slide2.png, O03_Carousel3_Slide3.png, O03_Carousel3_Slide4.png, O03_Carousel3_Slide5.png, O03_Carousel3_Slide6.png</t>
        </is>
      </c>
      <c r="J226" s="9" t="inlineStr"/>
      <c r="K226" s="7" t="inlineStr">
        <is>
          <t>What is inside the Content Engine  Four files for a one-person content system.  30-Day Content Engine, ₦5,000. Message E</t>
        </is>
      </c>
    </row>
    <row r="227">
      <c r="A227" s="7" t="n">
        <v>21</v>
      </c>
      <c r="B227" s="8">
        <f>$B$3+20</f>
        <v/>
      </c>
      <c r="C227" s="7">
        <f>TEXT(B227,"ddd")</f>
        <v/>
      </c>
      <c r="D227" s="7" t="inlineStr">
        <is>
          <t>09:00</t>
        </is>
      </c>
      <c r="E227" s="7" t="inlineStr">
        <is>
          <t>WhatsApp Status</t>
        </is>
      </c>
      <c r="F227" s="7" t="inlineStr">
        <is>
          <t>optional</t>
        </is>
      </c>
      <c r="G227" s="7" t="inlineStr">
        <is>
          <t>03 The 30-Day Content Engine</t>
        </is>
      </c>
      <c r="H227" s="7" t="inlineStr">
        <is>
          <t>Launch / promo post</t>
        </is>
      </c>
      <c r="I227" s="7" t="inlineStr">
        <is>
          <t>O03_Post02_Launch.png</t>
        </is>
      </c>
      <c r="J227" s="9" t="inlineStr"/>
      <c r="K227" s="7" t="inlineStr">
        <is>
          <t>New from Easywurld: The 30-Day Content Engine.  A realistic one-person content system: pillars, 60 post ideas, hook form</t>
        </is>
      </c>
    </row>
    <row r="228">
      <c r="A228" s="7" t="n">
        <v>21</v>
      </c>
      <c r="B228" s="8">
        <f>$B$3+20</f>
        <v/>
      </c>
      <c r="C228" s="7">
        <f>TEXT(B228,"ddd")</f>
        <v/>
      </c>
      <c r="D228" s="7" t="inlineStr">
        <is>
          <t>10:30</t>
        </is>
      </c>
      <c r="E228" s="7" t="inlineStr">
        <is>
          <t>Instagram Story</t>
        </is>
      </c>
      <c r="F228" s="7" t="inlineStr">
        <is>
          <t>optional</t>
        </is>
      </c>
      <c r="G228" s="7" t="inlineStr">
        <is>
          <t>03 The 30-Day Content Engine</t>
        </is>
      </c>
      <c r="H228" s="7" t="inlineStr">
        <is>
          <t>New-offer story</t>
        </is>
      </c>
      <c r="I228" s="7" t="inlineStr">
        <is>
          <t>O03_Story1_New.png</t>
        </is>
      </c>
      <c r="J228" s="9" t="inlineStr"/>
      <c r="K228" s="7" t="inlineStr">
        <is>
          <t xml:space="preserve">New: The 30-Day Content Engine. Tap, then message ENGINE on WhatsApp. Sticker text suggestion: “Message ENGINE” Link or </t>
        </is>
      </c>
    </row>
    <row r="229">
      <c r="A229" s="7" t="n">
        <v>21</v>
      </c>
      <c r="B229" s="8">
        <f>$B$3+20</f>
        <v/>
      </c>
      <c r="C229" s="7">
        <f>TEXT(B229,"ddd")</f>
        <v/>
      </c>
      <c r="D229" s="7" t="inlineStr">
        <is>
          <t>12:30</t>
        </is>
      </c>
      <c r="E229" s="7" t="inlineStr">
        <is>
          <t>Instagram Reel + Facebook video</t>
        </is>
      </c>
      <c r="F229" s="7" t="inlineStr">
        <is>
          <t>CORE</t>
        </is>
      </c>
      <c r="G229" s="7" t="inlineStr">
        <is>
          <t>03 The 30-Day Content Engine</t>
        </is>
      </c>
      <c r="H229" s="7" t="inlineStr">
        <is>
          <t>Short video</t>
        </is>
      </c>
      <c r="I229" s="7" t="inlineStr">
        <is>
          <t>O03_Video3_Hooks.mp4</t>
        </is>
      </c>
      <c r="J229" s="9" t="inlineStr"/>
      <c r="K229" s="7" t="inlineStr">
        <is>
          <t>Hooks  Caption: Message ENGINE on WhatsApp: 0905 069 0837 The 30-Day Content Engine: ₦5,000. Do-it-yourself, no guarante</t>
        </is>
      </c>
    </row>
    <row r="230">
      <c r="A230" s="7" t="n">
        <v>21</v>
      </c>
      <c r="B230" s="8">
        <f>$B$3+20</f>
        <v/>
      </c>
      <c r="C230" s="7">
        <f>TEXT(B230,"ddd")</f>
        <v/>
      </c>
      <c r="D230" s="7" t="inlineStr">
        <is>
          <t>13:30</t>
        </is>
      </c>
      <c r="E230" s="7" t="inlineStr">
        <is>
          <t>WhatsApp Status</t>
        </is>
      </c>
      <c r="F230" s="7" t="inlineStr">
        <is>
          <t>optional</t>
        </is>
      </c>
      <c r="G230" s="7" t="inlineStr">
        <is>
          <t>03 The 30-Day Content Engine</t>
        </is>
      </c>
      <c r="H230" s="7" t="inlineStr">
        <is>
          <t>What is inside</t>
        </is>
      </c>
      <c r="I230" s="7" t="inlineStr">
        <is>
          <t>O03_Post05_Value.png</t>
        </is>
      </c>
      <c r="J230" s="9" t="inlineStr"/>
      <c r="K230" s="7" t="inlineStr">
        <is>
          <t>What is inside the The 30-Day Content Engine, and what we estimate it would cost to produce.  - 30-Day Content Engine Gu</t>
        </is>
      </c>
    </row>
    <row r="231">
      <c r="A231" s="7" t="n">
        <v>21</v>
      </c>
      <c r="B231" s="8">
        <f>$B$3+20</f>
        <v/>
      </c>
      <c r="C231" s="7">
        <f>TEXT(B231,"ddd")</f>
        <v/>
      </c>
      <c r="D231" s="7" t="inlineStr">
        <is>
          <t>15:00</t>
        </is>
      </c>
      <c r="E231" s="7" t="inlineStr">
        <is>
          <t>Facebook feed</t>
        </is>
      </c>
      <c r="F231" s="7" t="inlineStr">
        <is>
          <t>CORE</t>
        </is>
      </c>
      <c r="G231" s="7" t="inlineStr">
        <is>
          <t>03 The 30-Day Content Engine</t>
        </is>
      </c>
      <c r="H231" s="7" t="inlineStr">
        <is>
          <t>Honest-answer (objection) post</t>
        </is>
      </c>
      <c r="I231" s="7" t="inlineStr">
        <is>
          <t>O03_Post03_Honest-answer.png</t>
        </is>
      </c>
      <c r="J231" s="9" t="inlineStr"/>
      <c r="K231" s="7" t="inlineStr">
        <is>
          <t xml:space="preserve">Honest answer: no tool or plan can promise followers, reach or sales. Platforms change.  What the 30-Day Content Engine </t>
        </is>
      </c>
    </row>
    <row r="232">
      <c r="A232" s="7" t="n">
        <v>21</v>
      </c>
      <c r="B232" s="8">
        <f>$B$3+20</f>
        <v/>
      </c>
      <c r="C232" s="7">
        <f>TEXT(B232,"ddd")</f>
        <v/>
      </c>
      <c r="D232" s="7" t="inlineStr">
        <is>
          <t>16:00</t>
        </is>
      </c>
      <c r="E232" s="7" t="inlineStr">
        <is>
          <t>Instagram Story</t>
        </is>
      </c>
      <c r="F232" s="7" t="inlineStr">
        <is>
          <t>optional</t>
        </is>
      </c>
      <c r="G232" s="7" t="inlineStr">
        <is>
          <t>03 The 30-Day Content Engine</t>
        </is>
      </c>
      <c r="H232" s="7" t="inlineStr">
        <is>
          <t>Price story</t>
        </is>
      </c>
      <c r="I232" s="7" t="inlineStr">
        <is>
          <t>O03_Story2_Price.png</t>
        </is>
      </c>
      <c r="J232" s="9" t="inlineStr"/>
      <c r="K232" s="7" t="inlineStr">
        <is>
          <t>The 30-Day Content Engine: ₦5,000. Estimated replacement cost of what is inside: ₦32,500 (our estimate, not a previous p</t>
        </is>
      </c>
    </row>
    <row r="233">
      <c r="A233" s="7" t="n">
        <v>21</v>
      </c>
      <c r="B233" s="8">
        <f>$B$3+20</f>
        <v/>
      </c>
      <c r="C233" s="7">
        <f>TEXT(B233,"ddd")</f>
        <v/>
      </c>
      <c r="D233" s="7" t="inlineStr">
        <is>
          <t>17:00</t>
        </is>
      </c>
      <c r="E233" s="7" t="inlineStr">
        <is>
          <t>WhatsApp Status</t>
        </is>
      </c>
      <c r="F233" s="7" t="inlineStr">
        <is>
          <t>CORE</t>
        </is>
      </c>
      <c r="G233" s="7" t="inlineStr">
        <is>
          <t>03 The 30-Day Content Engine</t>
        </is>
      </c>
      <c r="H233" s="7" t="inlineStr">
        <is>
          <t>Direct-response post</t>
        </is>
      </c>
      <c r="I233" s="7" t="inlineStr">
        <is>
          <t>O03_Post10_Whats-inside.png</t>
        </is>
      </c>
      <c r="J233" s="9" t="inlineStr"/>
      <c r="K233" s="7" t="inlineStr">
        <is>
          <t xml:space="preserve">The 30-Day Content Engine: 4 files for ₦5,000.  - 30-Day Content Engine Guide (PDF + editable DOCX) - 60-Idea Post Bank </t>
        </is>
      </c>
    </row>
    <row r="234">
      <c r="A234" s="7" t="n">
        <v>21</v>
      </c>
      <c r="B234" s="8">
        <f>$B$3+20</f>
        <v/>
      </c>
      <c r="C234" s="7">
        <f>TEXT(B234,"ddd")</f>
        <v/>
      </c>
      <c r="D234" s="7" t="inlineStr">
        <is>
          <t>18:30</t>
        </is>
      </c>
      <c r="E234" s="7" t="inlineStr">
        <is>
          <t>LinkedIn</t>
        </is>
      </c>
      <c r="F234" s="7" t="inlineStr">
        <is>
          <t>optional</t>
        </is>
      </c>
      <c r="G234" s="7" t="inlineStr">
        <is>
          <t>03 The 30-Day Content Engine</t>
        </is>
      </c>
      <c r="H234" s="7" t="inlineStr">
        <is>
          <t>Text post (no media needed)</t>
        </is>
      </c>
      <c r="I234" s="7" t="inlineStr">
        <is>
          <t>O03_LinkedIn1.txt</t>
        </is>
      </c>
      <c r="J234" s="9" t="inlineStr"/>
      <c r="K234" s="7" t="inlineStr">
        <is>
          <t>Consistency is the hard part of content for a one-person business. Not ideas, not tools: consistency.  What has helped m</t>
        </is>
      </c>
    </row>
    <row r="235">
      <c r="A235" s="7" t="n">
        <v>21</v>
      </c>
      <c r="B235" s="8">
        <f>$B$3+20</f>
        <v/>
      </c>
      <c r="C235" s="7">
        <f>TEXT(B235,"ddd")</f>
        <v/>
      </c>
      <c r="D235" s="7" t="inlineStr">
        <is>
          <t>20:00</t>
        </is>
      </c>
      <c r="E235" s="7" t="inlineStr">
        <is>
          <t>Instagram + Facebook feed</t>
        </is>
      </c>
      <c r="F235" s="7" t="inlineStr">
        <is>
          <t>optional</t>
        </is>
      </c>
      <c r="G235" s="7" t="inlineStr">
        <is>
          <t>03 The 30-Day Content Engine</t>
        </is>
      </c>
      <c r="H235" s="7" t="inlineStr">
        <is>
          <t>Second feed post</t>
        </is>
      </c>
      <c r="I235" s="7" t="inlineStr">
        <is>
          <t>O03_Post07_Tip.png</t>
        </is>
      </c>
      <c r="J235" s="9" t="inlineStr"/>
      <c r="K235" s="7" t="inlineStr">
        <is>
          <t>On a feed, you get about one line before someone scrolls.  A few hook shapes: - A mistake: “Stop doing this with your pr</t>
        </is>
      </c>
    </row>
    <row r="236">
      <c r="A236" s="7" t="n">
        <v>21</v>
      </c>
      <c r="B236" s="8">
        <f>$B$3+20</f>
        <v/>
      </c>
      <c r="C236" s="7">
        <f>TEXT(B236,"ddd")</f>
        <v/>
      </c>
      <c r="D236" s="7" t="inlineStr">
        <is>
          <t>21:00</t>
        </is>
      </c>
      <c r="E236" s="7" t="inlineStr">
        <is>
          <t>WhatsApp Status</t>
        </is>
      </c>
      <c r="F236" s="7" t="inlineStr">
        <is>
          <t>optional</t>
        </is>
      </c>
      <c r="G236" s="7" t="inlineStr">
        <is>
          <t>03 The 30-Day Content Engine</t>
        </is>
      </c>
      <c r="H236" s="7" t="inlineStr">
        <is>
          <t>Banner or price graphic</t>
        </is>
      </c>
      <c r="I236" s="7" t="inlineStr">
        <is>
          <t>O03_Post09_Mockup.png</t>
        </is>
      </c>
      <c r="J236" s="9" t="inlineStr"/>
      <c r="K236" s="7" t="inlineStr">
        <is>
          <t>4 files, one download.  The 30-Day Content Engine: 30-Day Content Engine Guide; 60-Idea Post Bank; 30-Day Content Calend</t>
        </is>
      </c>
    </row>
    <row r="237">
      <c r="A237" s="7" t="n">
        <v>22</v>
      </c>
      <c r="B237" s="8">
        <f>$B$3+21</f>
        <v/>
      </c>
      <c r="C237" s="7">
        <f>TEXT(B237,"ddd")</f>
        <v/>
      </c>
      <c r="D237" s="7" t="inlineStr">
        <is>
          <t>08:00</t>
        </is>
      </c>
      <c r="E237" s="7" t="inlineStr">
        <is>
          <t>Instagram + Facebook feed</t>
        </is>
      </c>
      <c r="F237" s="7" t="inlineStr">
        <is>
          <t>CORE</t>
        </is>
      </c>
      <c r="G237" s="7" t="inlineStr">
        <is>
          <t>04 The One-Offer Landing Page Kit</t>
        </is>
      </c>
      <c r="H237" s="7" t="inlineStr">
        <is>
          <t>Carousel or tip post</t>
        </is>
      </c>
      <c r="I237" s="7" t="inlineStr">
        <is>
          <t>O04_Carousel3_Slide1.png, O04_Carousel3_Slide2.png, O04_Carousel3_Slide3.png, O04_Carousel3_Slide4.png, O04_Carousel3_Slide5.png, O04_Carousel3_Slide6.png</t>
        </is>
      </c>
      <c r="J237" s="9" t="inlineStr"/>
      <c r="K237" s="7" t="inlineStr">
        <is>
          <t xml:space="preserve">What is inside the Landing Page Kit  Four files to plan, write and launch.  One-Offer Landing Page Kit, ₦5,000. Message </t>
        </is>
      </c>
    </row>
    <row r="238">
      <c r="A238" s="7" t="n">
        <v>22</v>
      </c>
      <c r="B238" s="8">
        <f>$B$3+21</f>
        <v/>
      </c>
      <c r="C238" s="7">
        <f>TEXT(B238,"ddd")</f>
        <v/>
      </c>
      <c r="D238" s="7" t="inlineStr">
        <is>
          <t>09:00</t>
        </is>
      </c>
      <c r="E238" s="7" t="inlineStr">
        <is>
          <t>WhatsApp Status</t>
        </is>
      </c>
      <c r="F238" s="7" t="inlineStr">
        <is>
          <t>optional</t>
        </is>
      </c>
      <c r="G238" s="7" t="inlineStr">
        <is>
          <t>04 The One-Offer Landing Page Kit</t>
        </is>
      </c>
      <c r="H238" s="7" t="inlineStr">
        <is>
          <t>Launch / promo post</t>
        </is>
      </c>
      <c r="I238" s="7" t="inlineStr">
        <is>
          <t>O04_Post02_Launch.png</t>
        </is>
      </c>
      <c r="J238" s="9" t="inlineStr"/>
      <c r="K238" s="7" t="inlineStr">
        <is>
          <t xml:space="preserve">New from Easywurld: The One-Offer Landing Page Kit.  Plan, write and launch a single-purpose page for one offer, with a </t>
        </is>
      </c>
    </row>
    <row r="239">
      <c r="A239" s="7" t="n">
        <v>22</v>
      </c>
      <c r="B239" s="8">
        <f>$B$3+21</f>
        <v/>
      </c>
      <c r="C239" s="7">
        <f>TEXT(B239,"ddd")</f>
        <v/>
      </c>
      <c r="D239" s="7" t="inlineStr">
        <is>
          <t>10:30</t>
        </is>
      </c>
      <c r="E239" s="7" t="inlineStr">
        <is>
          <t>Instagram Story</t>
        </is>
      </c>
      <c r="F239" s="7" t="inlineStr">
        <is>
          <t>optional</t>
        </is>
      </c>
      <c r="G239" s="7" t="inlineStr">
        <is>
          <t>04 The One-Offer Landing Page Kit</t>
        </is>
      </c>
      <c r="H239" s="7" t="inlineStr">
        <is>
          <t>New-offer story</t>
        </is>
      </c>
      <c r="I239" s="7" t="inlineStr">
        <is>
          <t>O04_Story1_New.png</t>
        </is>
      </c>
      <c r="J239" s="9" t="inlineStr"/>
      <c r="K239" s="7" t="inlineStr">
        <is>
          <t>New: The One-Offer Landing Page Kit. Tap, then message PAGE on WhatsApp. Sticker text suggestion: “Message PAGE” Link or</t>
        </is>
      </c>
    </row>
    <row r="240">
      <c r="A240" s="7" t="n">
        <v>22</v>
      </c>
      <c r="B240" s="8">
        <f>$B$3+21</f>
        <v/>
      </c>
      <c r="C240" s="7">
        <f>TEXT(B240,"ddd")</f>
        <v/>
      </c>
      <c r="D240" s="7" t="inlineStr">
        <is>
          <t>12:30</t>
        </is>
      </c>
      <c r="E240" s="7" t="inlineStr">
        <is>
          <t>Instagram Reel + Facebook video</t>
        </is>
      </c>
      <c r="F240" s="7" t="inlineStr">
        <is>
          <t>CORE</t>
        </is>
      </c>
      <c r="G240" s="7" t="inlineStr">
        <is>
          <t>04 The One-Offer Landing Page Kit</t>
        </is>
      </c>
      <c r="H240" s="7" t="inlineStr">
        <is>
          <t>Short video</t>
        </is>
      </c>
      <c r="I240" s="7" t="inlineStr">
        <is>
          <t>O04_Video3_Honest-scope.mp4</t>
        </is>
      </c>
      <c r="J240" s="9" t="inlineStr"/>
      <c r="K240" s="7" t="inlineStr">
        <is>
          <t>Honest scope  Caption: Message PAGE on WhatsApp: 0905 069 0837 The One-Offer Landing Page Kit: ₦5,000. Do-it-yourself, n</t>
        </is>
      </c>
    </row>
    <row r="241">
      <c r="A241" s="7" t="n">
        <v>22</v>
      </c>
      <c r="B241" s="8">
        <f>$B$3+21</f>
        <v/>
      </c>
      <c r="C241" s="7">
        <f>TEXT(B241,"ddd")</f>
        <v/>
      </c>
      <c r="D241" s="7" t="inlineStr">
        <is>
          <t>13:30</t>
        </is>
      </c>
      <c r="E241" s="7" t="inlineStr">
        <is>
          <t>WhatsApp Status</t>
        </is>
      </c>
      <c r="F241" s="7" t="inlineStr">
        <is>
          <t>optional</t>
        </is>
      </c>
      <c r="G241" s="7" t="inlineStr">
        <is>
          <t>04 The One-Offer Landing Page Kit</t>
        </is>
      </c>
      <c r="H241" s="7" t="inlineStr">
        <is>
          <t>What is inside</t>
        </is>
      </c>
      <c r="I241" s="7" t="inlineStr">
        <is>
          <t>O04_Post05_Value.png</t>
        </is>
      </c>
      <c r="J241" s="9" t="inlineStr"/>
      <c r="K241" s="7" t="inlineStr">
        <is>
          <t>What is inside the The One-Offer Landing Page Kit, and what we estimate it would cost to produce.  - One-Offer Landing P</t>
        </is>
      </c>
    </row>
    <row r="242">
      <c r="A242" s="7" t="n">
        <v>22</v>
      </c>
      <c r="B242" s="8">
        <f>$B$3+21</f>
        <v/>
      </c>
      <c r="C242" s="7">
        <f>TEXT(B242,"ddd")</f>
        <v/>
      </c>
      <c r="D242" s="7" t="inlineStr">
        <is>
          <t>15:00</t>
        </is>
      </c>
      <c r="E242" s="7" t="inlineStr">
        <is>
          <t>Facebook feed</t>
        </is>
      </c>
      <c r="F242" s="7" t="inlineStr">
        <is>
          <t>CORE</t>
        </is>
      </c>
      <c r="G242" s="7" t="inlineStr">
        <is>
          <t>04 The One-Offer Landing Page Kit</t>
        </is>
      </c>
      <c r="H242" s="7" t="inlineStr">
        <is>
          <t>Honest-answer (objection) post</t>
        </is>
      </c>
      <c r="I242" s="7" t="inlineStr">
        <is>
          <t>O04_Post03_Honest-answer.png</t>
        </is>
      </c>
      <c r="J242" s="9" t="inlineStr"/>
      <c r="K242" s="7" t="inlineStr">
        <is>
          <t>Not to get started. The HTML starter has comments on every section. You change the words, and change the colours in five</t>
        </is>
      </c>
    </row>
    <row r="243">
      <c r="A243" s="7" t="n">
        <v>22</v>
      </c>
      <c r="B243" s="8">
        <f>$B$3+21</f>
        <v/>
      </c>
      <c r="C243" s="7">
        <f>TEXT(B243,"ddd")</f>
        <v/>
      </c>
      <c r="D243" s="7" t="inlineStr">
        <is>
          <t>16:00</t>
        </is>
      </c>
      <c r="E243" s="7" t="inlineStr">
        <is>
          <t>Instagram Story</t>
        </is>
      </c>
      <c r="F243" s="7" t="inlineStr">
        <is>
          <t>optional</t>
        </is>
      </c>
      <c r="G243" s="7" t="inlineStr">
        <is>
          <t>04 The One-Offer Landing Page Kit</t>
        </is>
      </c>
      <c r="H243" s="7" t="inlineStr">
        <is>
          <t>Price story</t>
        </is>
      </c>
      <c r="I243" s="7" t="inlineStr">
        <is>
          <t>O04_Story2_Price.png</t>
        </is>
      </c>
      <c r="J243" s="9" t="inlineStr"/>
      <c r="K243" s="7" t="inlineStr">
        <is>
          <t>The One-Offer Landing Page Kit: ₦5,000. Estimated replacement cost of what is inside: ₦32,500 (our estimate, not a previ</t>
        </is>
      </c>
    </row>
    <row r="244">
      <c r="A244" s="7" t="n">
        <v>22</v>
      </c>
      <c r="B244" s="8">
        <f>$B$3+21</f>
        <v/>
      </c>
      <c r="C244" s="7">
        <f>TEXT(B244,"ddd")</f>
        <v/>
      </c>
      <c r="D244" s="7" t="inlineStr">
        <is>
          <t>17:00</t>
        </is>
      </c>
      <c r="E244" s="7" t="inlineStr">
        <is>
          <t>WhatsApp Status</t>
        </is>
      </c>
      <c r="F244" s="7" t="inlineStr">
        <is>
          <t>CORE</t>
        </is>
      </c>
      <c r="G244" s="7" t="inlineStr">
        <is>
          <t>04 The One-Offer Landing Page Kit</t>
        </is>
      </c>
      <c r="H244" s="7" t="inlineStr">
        <is>
          <t>Direct-response post</t>
        </is>
      </c>
      <c r="I244" s="7" t="inlineStr">
        <is>
          <t>O04_Post10_Whats-inside.png</t>
        </is>
      </c>
      <c r="J244" s="9" t="inlineStr"/>
      <c r="K244" s="7" t="inlineStr">
        <is>
          <t>The One-Offer Landing Page Kit: 4 files for ₦5,000.  - One-Offer Landing Page Guide (PDF + editable DOCX) - Landing Page</t>
        </is>
      </c>
    </row>
    <row r="245">
      <c r="A245" s="7" t="n">
        <v>22</v>
      </c>
      <c r="B245" s="8">
        <f>$B$3+21</f>
        <v/>
      </c>
      <c r="C245" s="7">
        <f>TEXT(B245,"ddd")</f>
        <v/>
      </c>
      <c r="D245" s="7" t="inlineStr">
        <is>
          <t>18:30</t>
        </is>
      </c>
      <c r="E245" s="7" t="inlineStr">
        <is>
          <t>LinkedIn</t>
        </is>
      </c>
      <c r="F245" s="7" t="inlineStr">
        <is>
          <t>optional</t>
        </is>
      </c>
      <c r="G245" s="7" t="inlineStr">
        <is>
          <t>04 The One-Offer Landing Page Kit</t>
        </is>
      </c>
      <c r="H245" s="7" t="inlineStr">
        <is>
          <t>Text post (no media needed)</t>
        </is>
      </c>
      <c r="I245" s="7" t="inlineStr">
        <is>
          <t>O04_LinkedIn1.txt</t>
        </is>
      </c>
      <c r="J245" s="9" t="inlineStr"/>
      <c r="K245" s="7" t="inlineStr">
        <is>
          <t xml:space="preserve">If you are launching one thing, a workshop, a product, a booking, you probably do not need a website. You need a page.  </t>
        </is>
      </c>
    </row>
    <row r="246">
      <c r="A246" s="7" t="n">
        <v>22</v>
      </c>
      <c r="B246" s="8">
        <f>$B$3+21</f>
        <v/>
      </c>
      <c r="C246" s="7">
        <f>TEXT(B246,"ddd")</f>
        <v/>
      </c>
      <c r="D246" s="7" t="inlineStr">
        <is>
          <t>20:00</t>
        </is>
      </c>
      <c r="E246" s="7" t="inlineStr">
        <is>
          <t>Instagram + Facebook feed</t>
        </is>
      </c>
      <c r="F246" s="7" t="inlineStr">
        <is>
          <t>optional</t>
        </is>
      </c>
      <c r="G246" s="7" t="inlineStr">
        <is>
          <t>04 The One-Offer Landing Page Kit</t>
        </is>
      </c>
      <c r="H246" s="7" t="inlineStr">
        <is>
          <t>Second feed post</t>
        </is>
      </c>
      <c r="I246" s="7" t="inlineStr">
        <is>
          <t>O04_Post07_Tip.png</t>
        </is>
      </c>
      <c r="J246" s="9" t="inlineStr"/>
      <c r="K246" s="7" t="inlineStr">
        <is>
          <t>Check these on your phone before you share a page: - Text readable without zooming - Buttons big enough for a thumb - Th</t>
        </is>
      </c>
    </row>
    <row r="247">
      <c r="A247" s="7" t="n">
        <v>22</v>
      </c>
      <c r="B247" s="8">
        <f>$B$3+21</f>
        <v/>
      </c>
      <c r="C247" s="7">
        <f>TEXT(B247,"ddd")</f>
        <v/>
      </c>
      <c r="D247" s="7" t="inlineStr">
        <is>
          <t>21:00</t>
        </is>
      </c>
      <c r="E247" s="7" t="inlineStr">
        <is>
          <t>WhatsApp Status</t>
        </is>
      </c>
      <c r="F247" s="7" t="inlineStr">
        <is>
          <t>optional</t>
        </is>
      </c>
      <c r="G247" s="7" t="inlineStr">
        <is>
          <t>04 The One-Offer Landing Page Kit</t>
        </is>
      </c>
      <c r="H247" s="7" t="inlineStr">
        <is>
          <t>Banner or price graphic</t>
        </is>
      </c>
      <c r="I247" s="7" t="inlineStr">
        <is>
          <t>O04_Post09_Mockup.png</t>
        </is>
      </c>
      <c r="J247" s="9" t="inlineStr"/>
      <c r="K247" s="7" t="inlineStr">
        <is>
          <t>4 files, one download.  The One-Offer Landing Page Kit: One-Offer Landing Page Guide; Landing Page Copy Template with Wo</t>
        </is>
      </c>
    </row>
    <row r="248">
      <c r="A248" s="7" t="n">
        <v>23</v>
      </c>
      <c r="B248" s="8">
        <f>$B$3+22</f>
        <v/>
      </c>
      <c r="C248" s="7">
        <f>TEXT(B248,"ddd")</f>
        <v/>
      </c>
      <c r="D248" s="7" t="inlineStr">
        <is>
          <t>08:00</t>
        </is>
      </c>
      <c r="E248" s="7" t="inlineStr">
        <is>
          <t>Instagram + Facebook feed</t>
        </is>
      </c>
      <c r="F248" s="7" t="inlineStr">
        <is>
          <t>CORE</t>
        </is>
      </c>
      <c r="G248" s="7" t="inlineStr">
        <is>
          <t>05 The Lagos Local Visibility Starter</t>
        </is>
      </c>
      <c r="H248" s="7" t="inlineStr">
        <is>
          <t>Carousel or tip post</t>
        </is>
      </c>
      <c r="I248" s="7" t="inlineStr">
        <is>
          <t>O05_Carousel3_Slide1.png, O05_Carousel3_Slide2.png, O05_Carousel3_Slide3.png, O05_Carousel3_Slide4.png, O05_Carousel3_Slide5.png, O05_Carousel3_Slide6.png</t>
        </is>
      </c>
      <c r="J248" s="9" t="inlineStr"/>
      <c r="K248" s="7" t="inlineStr">
        <is>
          <t>What is inside the Local Starter  Four files for 30 days.  Lagos Local Visibility Starter, ₦5,000. Message LOCAL on What</t>
        </is>
      </c>
    </row>
    <row r="249">
      <c r="A249" s="7" t="n">
        <v>23</v>
      </c>
      <c r="B249" s="8">
        <f>$B$3+22</f>
        <v/>
      </c>
      <c r="C249" s="7">
        <f>TEXT(B249,"ddd")</f>
        <v/>
      </c>
      <c r="D249" s="7" t="inlineStr">
        <is>
          <t>09:00</t>
        </is>
      </c>
      <c r="E249" s="7" t="inlineStr">
        <is>
          <t>WhatsApp Status</t>
        </is>
      </c>
      <c r="F249" s="7" t="inlineStr">
        <is>
          <t>optional</t>
        </is>
      </c>
      <c r="G249" s="7" t="inlineStr">
        <is>
          <t>05 The Lagos Local Visibility Starter</t>
        </is>
      </c>
      <c r="H249" s="7" t="inlineStr">
        <is>
          <t>Launch / promo post</t>
        </is>
      </c>
      <c r="I249" s="7" t="inlineStr">
        <is>
          <t>O05_Post02_Launch.png</t>
        </is>
      </c>
      <c r="J249" s="9" t="inlineStr"/>
      <c r="K249" s="7" t="inlineStr">
        <is>
          <t>New from Easywurld: The Lagos Local Visibility Starter.  A 30-day local search starter: set up your Google Business Prof</t>
        </is>
      </c>
    </row>
    <row r="250">
      <c r="A250" s="7" t="n">
        <v>23</v>
      </c>
      <c r="B250" s="8">
        <f>$B$3+22</f>
        <v/>
      </c>
      <c r="C250" s="7">
        <f>TEXT(B250,"ddd")</f>
        <v/>
      </c>
      <c r="D250" s="7" t="inlineStr">
        <is>
          <t>10:30</t>
        </is>
      </c>
      <c r="E250" s="7" t="inlineStr">
        <is>
          <t>Instagram Story</t>
        </is>
      </c>
      <c r="F250" s="7" t="inlineStr">
        <is>
          <t>optional</t>
        </is>
      </c>
      <c r="G250" s="7" t="inlineStr">
        <is>
          <t>05 The Lagos Local Visibility Starter</t>
        </is>
      </c>
      <c r="H250" s="7" t="inlineStr">
        <is>
          <t>New-offer story</t>
        </is>
      </c>
      <c r="I250" s="7" t="inlineStr">
        <is>
          <t>O05_Story1_New.png</t>
        </is>
      </c>
      <c r="J250" s="9" t="inlineStr"/>
      <c r="K250" s="7" t="inlineStr">
        <is>
          <t>New: The Lagos Local Visibility Starter. Tap, then message LOCAL on WhatsApp. Sticker text suggestion: “Message LOCAL” L</t>
        </is>
      </c>
    </row>
    <row r="251">
      <c r="A251" s="7" t="n">
        <v>23</v>
      </c>
      <c r="B251" s="8">
        <f>$B$3+22</f>
        <v/>
      </c>
      <c r="C251" s="7">
        <f>TEXT(B251,"ddd")</f>
        <v/>
      </c>
      <c r="D251" s="7" t="inlineStr">
        <is>
          <t>12:30</t>
        </is>
      </c>
      <c r="E251" s="7" t="inlineStr">
        <is>
          <t>Instagram Reel + Facebook video</t>
        </is>
      </c>
      <c r="F251" s="7" t="inlineStr">
        <is>
          <t>CORE</t>
        </is>
      </c>
      <c r="G251" s="7" t="inlineStr">
        <is>
          <t>05 The Lagos Local Visibility Starter</t>
        </is>
      </c>
      <c r="H251" s="7" t="inlineStr">
        <is>
          <t>Short video</t>
        </is>
      </c>
      <c r="I251" s="7" t="inlineStr">
        <is>
          <t>O05_Video3_Complete-profile.mp4</t>
        </is>
      </c>
      <c r="J251" s="9" t="inlineStr"/>
      <c r="K251" s="7" t="inlineStr">
        <is>
          <t>Complete profile  Caption: Message LOCAL on WhatsApp: 0905 069 0837 The Lagos Local Visibility Starter: ₦5,000. Do-it-yo</t>
        </is>
      </c>
    </row>
    <row r="252">
      <c r="A252" s="7" t="n">
        <v>23</v>
      </c>
      <c r="B252" s="8">
        <f>$B$3+22</f>
        <v/>
      </c>
      <c r="C252" s="7">
        <f>TEXT(B252,"ddd")</f>
        <v/>
      </c>
      <c r="D252" s="7" t="inlineStr">
        <is>
          <t>13:30</t>
        </is>
      </c>
      <c r="E252" s="7" t="inlineStr">
        <is>
          <t>WhatsApp Status</t>
        </is>
      </c>
      <c r="F252" s="7" t="inlineStr">
        <is>
          <t>optional</t>
        </is>
      </c>
      <c r="G252" s="7" t="inlineStr">
        <is>
          <t>05 The Lagos Local Visibility Starter</t>
        </is>
      </c>
      <c r="H252" s="7" t="inlineStr">
        <is>
          <t>What is inside</t>
        </is>
      </c>
      <c r="I252" s="7" t="inlineStr">
        <is>
          <t>O05_Post05_Value.png</t>
        </is>
      </c>
      <c r="J252" s="9" t="inlineStr"/>
      <c r="K252" s="7" t="inlineStr">
        <is>
          <t>What is inside the The Lagos Local Visibility Starter, and what we estimate it would cost to produce.  - Local Visibilit</t>
        </is>
      </c>
    </row>
    <row r="253">
      <c r="A253" s="7" t="n">
        <v>23</v>
      </c>
      <c r="B253" s="8">
        <f>$B$3+22</f>
        <v/>
      </c>
      <c r="C253" s="7">
        <f>TEXT(B253,"ddd")</f>
        <v/>
      </c>
      <c r="D253" s="7" t="inlineStr">
        <is>
          <t>15:00</t>
        </is>
      </c>
      <c r="E253" s="7" t="inlineStr">
        <is>
          <t>Facebook feed</t>
        </is>
      </c>
      <c r="F253" s="7" t="inlineStr">
        <is>
          <t>CORE</t>
        </is>
      </c>
      <c r="G253" s="7" t="inlineStr">
        <is>
          <t>05 The Lagos Local Visibility Starter</t>
        </is>
      </c>
      <c r="H253" s="7" t="inlineStr">
        <is>
          <t>Honest-answer (objection) post</t>
        </is>
      </c>
      <c r="I253" s="7" t="inlineStr">
        <is>
          <t>O05_Post03_Honest-answer.png</t>
        </is>
      </c>
      <c r="J253" s="9" t="inlineStr"/>
      <c r="K253" s="7" t="inlineStr">
        <is>
          <t xml:space="preserve">Honest answer: no one can promise ranking, and be careful of anyone who does.  The Lagos Local Visibility Starter helps </t>
        </is>
      </c>
    </row>
    <row r="254">
      <c r="A254" s="7" t="n">
        <v>23</v>
      </c>
      <c r="B254" s="8">
        <f>$B$3+22</f>
        <v/>
      </c>
      <c r="C254" s="7">
        <f>TEXT(B254,"ddd")</f>
        <v/>
      </c>
      <c r="D254" s="7" t="inlineStr">
        <is>
          <t>16:00</t>
        </is>
      </c>
      <c r="E254" s="7" t="inlineStr">
        <is>
          <t>Instagram Story</t>
        </is>
      </c>
      <c r="F254" s="7" t="inlineStr">
        <is>
          <t>optional</t>
        </is>
      </c>
      <c r="G254" s="7" t="inlineStr">
        <is>
          <t>05 The Lagos Local Visibility Starter</t>
        </is>
      </c>
      <c r="H254" s="7" t="inlineStr">
        <is>
          <t>Price story</t>
        </is>
      </c>
      <c r="I254" s="7" t="inlineStr">
        <is>
          <t>O05_Story2_Price.png</t>
        </is>
      </c>
      <c r="J254" s="9" t="inlineStr"/>
      <c r="K254" s="7" t="inlineStr">
        <is>
          <t>The Lagos Local Visibility Starter: ₦5,000. Estimated replacement cost of what is inside: ₦32,500 (our estimate, not a p</t>
        </is>
      </c>
    </row>
    <row r="255">
      <c r="A255" s="7" t="n">
        <v>23</v>
      </c>
      <c r="B255" s="8">
        <f>$B$3+22</f>
        <v/>
      </c>
      <c r="C255" s="7">
        <f>TEXT(B255,"ddd")</f>
        <v/>
      </c>
      <c r="D255" s="7" t="inlineStr">
        <is>
          <t>17:00</t>
        </is>
      </c>
      <c r="E255" s="7" t="inlineStr">
        <is>
          <t>WhatsApp Status</t>
        </is>
      </c>
      <c r="F255" s="7" t="inlineStr">
        <is>
          <t>CORE</t>
        </is>
      </c>
      <c r="G255" s="7" t="inlineStr">
        <is>
          <t>05 The Lagos Local Visibility Starter</t>
        </is>
      </c>
      <c r="H255" s="7" t="inlineStr">
        <is>
          <t>Direct-response post</t>
        </is>
      </c>
      <c r="I255" s="7" t="inlineStr">
        <is>
          <t>O05_Post10_Whats-inside.png</t>
        </is>
      </c>
      <c r="J255" s="9" t="inlineStr"/>
      <c r="K255" s="7" t="inlineStr">
        <is>
          <t>The Lagos Local Visibility Starter: 4 files for ₦5,000.  - Local Visibility Guide (PDF + editable DOCX) - Keyword and Pa</t>
        </is>
      </c>
    </row>
    <row r="256">
      <c r="A256" s="7" t="n">
        <v>23</v>
      </c>
      <c r="B256" s="8">
        <f>$B$3+22</f>
        <v/>
      </c>
      <c r="C256" s="7">
        <f>TEXT(B256,"ddd")</f>
        <v/>
      </c>
      <c r="D256" s="7" t="inlineStr">
        <is>
          <t>18:30</t>
        </is>
      </c>
      <c r="E256" s="7" t="inlineStr">
        <is>
          <t>LinkedIn</t>
        </is>
      </c>
      <c r="F256" s="7" t="inlineStr">
        <is>
          <t>optional</t>
        </is>
      </c>
      <c r="G256" s="7" t="inlineStr">
        <is>
          <t>05 The Lagos Local Visibility Starter</t>
        </is>
      </c>
      <c r="H256" s="7" t="inlineStr">
        <is>
          <t>Text post (no media needed)</t>
        </is>
      </c>
      <c r="I256" s="7" t="inlineStr">
        <is>
          <t>O05_LinkedIn1.txt</t>
        </is>
      </c>
      <c r="J256" s="9" t="inlineStr"/>
      <c r="K256" s="7" t="inlineStr">
        <is>
          <t>When someone in Lagos needs a tailor, a plumber or a caterer, many of them start by searching on their phone.  What they</t>
        </is>
      </c>
    </row>
    <row r="257">
      <c r="A257" s="7" t="n">
        <v>23</v>
      </c>
      <c r="B257" s="8">
        <f>$B$3+22</f>
        <v/>
      </c>
      <c r="C257" s="7">
        <f>TEXT(B257,"ddd")</f>
        <v/>
      </c>
      <c r="D257" s="7" t="inlineStr">
        <is>
          <t>20:00</t>
        </is>
      </c>
      <c r="E257" s="7" t="inlineStr">
        <is>
          <t>Instagram + Facebook feed</t>
        </is>
      </c>
      <c r="F257" s="7" t="inlineStr">
        <is>
          <t>optional</t>
        </is>
      </c>
      <c r="G257" s="7" t="inlineStr">
        <is>
          <t>05 The Lagos Local Visibility Starter</t>
        </is>
      </c>
      <c r="H257" s="7" t="inlineStr">
        <is>
          <t>Second feed post</t>
        </is>
      </c>
      <c r="I257" s="7" t="inlineStr">
        <is>
          <t>O05_Post07_Tip.png</t>
        </is>
      </c>
      <c r="J257" s="9" t="inlineStr"/>
      <c r="K257" s="7" t="inlineStr">
        <is>
          <t>Happy customers rarely leave reviews unless asked.  A good ask is: 1. Personal (use their name) 2. Timed right after a g</t>
        </is>
      </c>
    </row>
    <row r="258">
      <c r="A258" s="7" t="n">
        <v>23</v>
      </c>
      <c r="B258" s="8">
        <f>$B$3+22</f>
        <v/>
      </c>
      <c r="C258" s="7">
        <f>TEXT(B258,"ddd")</f>
        <v/>
      </c>
      <c r="D258" s="7" t="inlineStr">
        <is>
          <t>21:00</t>
        </is>
      </c>
      <c r="E258" s="7" t="inlineStr">
        <is>
          <t>WhatsApp Status</t>
        </is>
      </c>
      <c r="F258" s="7" t="inlineStr">
        <is>
          <t>optional</t>
        </is>
      </c>
      <c r="G258" s="7" t="inlineStr">
        <is>
          <t>05 The Lagos Local Visibility Starter</t>
        </is>
      </c>
      <c r="H258" s="7" t="inlineStr">
        <is>
          <t>Banner or price graphic</t>
        </is>
      </c>
      <c r="I258" s="7" t="inlineStr">
        <is>
          <t>O05_Post09_Mockup.png</t>
        </is>
      </c>
      <c r="J258" s="9" t="inlineStr"/>
      <c r="K258" s="7" t="inlineStr">
        <is>
          <t>4 files, one download.  The Lagos Local Visibility Starter: Local Visibility Guide; Keyword and Page Title Worksheet; Go</t>
        </is>
      </c>
    </row>
    <row r="259">
      <c r="A259" s="7" t="n">
        <v>24</v>
      </c>
      <c r="B259" s="8">
        <f>$B$3+23</f>
        <v/>
      </c>
      <c r="C259" s="7">
        <f>TEXT(B259,"ddd")</f>
        <v/>
      </c>
      <c r="D259" s="7" t="inlineStr">
        <is>
          <t>08:00</t>
        </is>
      </c>
      <c r="E259" s="7" t="inlineStr">
        <is>
          <t>Instagram + Facebook feed</t>
        </is>
      </c>
      <c r="F259" s="7" t="inlineStr">
        <is>
          <t>CORE</t>
        </is>
      </c>
      <c r="G259" s="7" t="inlineStr">
        <is>
          <t>06 The Clear Message Workbook</t>
        </is>
      </c>
      <c r="H259" s="7" t="inlineStr">
        <is>
          <t>Carousel or tip post</t>
        </is>
      </c>
      <c r="I259" s="7" t="inlineStr">
        <is>
          <t>O06_Carousel3_Slide1.png, O06_Carousel3_Slide2.png, O06_Carousel3_Slide3.png, O06_Carousel3_Slide4.png, O06_Carousel3_Slide5.png, O06_Carousel3_Slide6.png</t>
        </is>
      </c>
      <c r="J259" s="9" t="inlineStr"/>
      <c r="K259" s="7" t="inlineStr">
        <is>
          <t>What is inside the Message Workbook  Four files to get clear.  Clear Message Workbook, ₦5,000. Message MESSAGE on WhatsA</t>
        </is>
      </c>
    </row>
    <row r="260">
      <c r="A260" s="7" t="n">
        <v>24</v>
      </c>
      <c r="B260" s="8">
        <f>$B$3+23</f>
        <v/>
      </c>
      <c r="C260" s="7">
        <f>TEXT(B260,"ddd")</f>
        <v/>
      </c>
      <c r="D260" s="7" t="inlineStr">
        <is>
          <t>09:00</t>
        </is>
      </c>
      <c r="E260" s="7" t="inlineStr">
        <is>
          <t>WhatsApp Status</t>
        </is>
      </c>
      <c r="F260" s="7" t="inlineStr">
        <is>
          <t>optional</t>
        </is>
      </c>
      <c r="G260" s="7" t="inlineStr">
        <is>
          <t>06 The Clear Message Workbook</t>
        </is>
      </c>
      <c r="H260" s="7" t="inlineStr">
        <is>
          <t>Launch / promo post</t>
        </is>
      </c>
      <c r="I260" s="7" t="inlineStr">
        <is>
          <t>O06_Post02_Launch.png</t>
        </is>
      </c>
      <c r="J260" s="9" t="inlineStr"/>
      <c r="K260" s="7" t="inlineStr">
        <is>
          <t>New from Easywurld: The Clear Message Workbook.  Work out who you serve, what makes you different and how to say it in o</t>
        </is>
      </c>
    </row>
    <row r="261">
      <c r="A261" s="7" t="n">
        <v>24</v>
      </c>
      <c r="B261" s="8">
        <f>$B$3+23</f>
        <v/>
      </c>
      <c r="C261" s="7">
        <f>TEXT(B261,"ddd")</f>
        <v/>
      </c>
      <c r="D261" s="7" t="inlineStr">
        <is>
          <t>10:30</t>
        </is>
      </c>
      <c r="E261" s="7" t="inlineStr">
        <is>
          <t>Instagram Story</t>
        </is>
      </c>
      <c r="F261" s="7" t="inlineStr">
        <is>
          <t>optional</t>
        </is>
      </c>
      <c r="G261" s="7" t="inlineStr">
        <is>
          <t>06 The Clear Message Workbook</t>
        </is>
      </c>
      <c r="H261" s="7" t="inlineStr">
        <is>
          <t>New-offer story</t>
        </is>
      </c>
      <c r="I261" s="7" t="inlineStr">
        <is>
          <t>O06_Story1_New.png</t>
        </is>
      </c>
      <c r="J261" s="9" t="inlineStr"/>
      <c r="K261" s="7" t="inlineStr">
        <is>
          <t xml:space="preserve">New: The Clear Message Workbook. Tap, then message MESSAGE on WhatsApp. Sticker text suggestion: “Message MESSAGE” Link </t>
        </is>
      </c>
    </row>
    <row r="262">
      <c r="A262" s="7" t="n">
        <v>24</v>
      </c>
      <c r="B262" s="8">
        <f>$B$3+23</f>
        <v/>
      </c>
      <c r="C262" s="7">
        <f>TEXT(B262,"ddd")</f>
        <v/>
      </c>
      <c r="D262" s="7" t="inlineStr">
        <is>
          <t>12:30</t>
        </is>
      </c>
      <c r="E262" s="7" t="inlineStr">
        <is>
          <t>Instagram Reel + Facebook video</t>
        </is>
      </c>
      <c r="F262" s="7" t="inlineStr">
        <is>
          <t>CORE</t>
        </is>
      </c>
      <c r="G262" s="7" t="inlineStr">
        <is>
          <t>06 The Clear Message Workbook</t>
        </is>
      </c>
      <c r="H262" s="7" t="inlineStr">
        <is>
          <t>Short video</t>
        </is>
      </c>
      <c r="I262" s="7" t="inlineStr">
        <is>
          <t>O06_Video3_Not-louder-clearer.mp4</t>
        </is>
      </c>
      <c r="J262" s="9" t="inlineStr"/>
      <c r="K262" s="7" t="inlineStr">
        <is>
          <t>Not louder, clearer  Caption: Message MESSAGE on WhatsApp: 0905 069 0837 The Clear Message Workbook: ₦5,000. Do-it-yours</t>
        </is>
      </c>
    </row>
    <row r="263">
      <c r="A263" s="7" t="n">
        <v>24</v>
      </c>
      <c r="B263" s="8">
        <f>$B$3+23</f>
        <v/>
      </c>
      <c r="C263" s="7">
        <f>TEXT(B263,"ddd")</f>
        <v/>
      </c>
      <c r="D263" s="7" t="inlineStr">
        <is>
          <t>13:30</t>
        </is>
      </c>
      <c r="E263" s="7" t="inlineStr">
        <is>
          <t>WhatsApp Status</t>
        </is>
      </c>
      <c r="F263" s="7" t="inlineStr">
        <is>
          <t>optional</t>
        </is>
      </c>
      <c r="G263" s="7" t="inlineStr">
        <is>
          <t>06 The Clear Message Workbook</t>
        </is>
      </c>
      <c r="H263" s="7" t="inlineStr">
        <is>
          <t>What is inside</t>
        </is>
      </c>
      <c r="I263" s="7" t="inlineStr">
        <is>
          <t>O06_Post05_Value.png</t>
        </is>
      </c>
      <c r="J263" s="9" t="inlineStr"/>
      <c r="K263" s="7" t="inlineStr">
        <is>
          <t>What is inside the The Clear Message Workbook, and what we estimate it would cost to produce.  - Clear Message Workbook:</t>
        </is>
      </c>
    </row>
    <row r="264">
      <c r="A264" s="7" t="n">
        <v>24</v>
      </c>
      <c r="B264" s="8">
        <f>$B$3+23</f>
        <v/>
      </c>
      <c r="C264" s="7">
        <f>TEXT(B264,"ddd")</f>
        <v/>
      </c>
      <c r="D264" s="7" t="inlineStr">
        <is>
          <t>15:00</t>
        </is>
      </c>
      <c r="E264" s="7" t="inlineStr">
        <is>
          <t>Facebook feed</t>
        </is>
      </c>
      <c r="F264" s="7" t="inlineStr">
        <is>
          <t>CORE</t>
        </is>
      </c>
      <c r="G264" s="7" t="inlineStr">
        <is>
          <t>06 The Clear Message Workbook</t>
        </is>
      </c>
      <c r="H264" s="7" t="inlineStr">
        <is>
          <t>Honest-answer (objection) post</t>
        </is>
      </c>
      <c r="I264" s="7" t="inlineStr">
        <is>
          <t>O06_Post03_Honest-answer.png</t>
        </is>
      </c>
      <c r="J264" s="9" t="inlineStr"/>
      <c r="K264" s="7" t="inlineStr">
        <is>
          <t>Honest answer: no. The Clear Message Workbook is self-guided. It does not include a consultation or a review of your ans</t>
        </is>
      </c>
    </row>
    <row r="265">
      <c r="A265" s="7" t="n">
        <v>24</v>
      </c>
      <c r="B265" s="8">
        <f>$B$3+23</f>
        <v/>
      </c>
      <c r="C265" s="7">
        <f>TEXT(B265,"ddd")</f>
        <v/>
      </c>
      <c r="D265" s="7" t="inlineStr">
        <is>
          <t>16:00</t>
        </is>
      </c>
      <c r="E265" s="7" t="inlineStr">
        <is>
          <t>Instagram Story</t>
        </is>
      </c>
      <c r="F265" s="7" t="inlineStr">
        <is>
          <t>optional</t>
        </is>
      </c>
      <c r="G265" s="7" t="inlineStr">
        <is>
          <t>06 The Clear Message Workbook</t>
        </is>
      </c>
      <c r="H265" s="7" t="inlineStr">
        <is>
          <t>Price story</t>
        </is>
      </c>
      <c r="I265" s="7" t="inlineStr">
        <is>
          <t>O06_Story2_Price.png</t>
        </is>
      </c>
      <c r="J265" s="9" t="inlineStr"/>
      <c r="K265" s="7" t="inlineStr">
        <is>
          <t xml:space="preserve">The Clear Message Workbook: ₦5,000. Estimated replacement cost of what is inside: ₦32,500 (our estimate, not a previous </t>
        </is>
      </c>
    </row>
    <row r="266">
      <c r="A266" s="7" t="n">
        <v>24</v>
      </c>
      <c r="B266" s="8">
        <f>$B$3+23</f>
        <v/>
      </c>
      <c r="C266" s="7">
        <f>TEXT(B266,"ddd")</f>
        <v/>
      </c>
      <c r="D266" s="7" t="inlineStr">
        <is>
          <t>17:00</t>
        </is>
      </c>
      <c r="E266" s="7" t="inlineStr">
        <is>
          <t>WhatsApp Status</t>
        </is>
      </c>
      <c r="F266" s="7" t="inlineStr">
        <is>
          <t>CORE</t>
        </is>
      </c>
      <c r="G266" s="7" t="inlineStr">
        <is>
          <t>06 The Clear Message Workbook</t>
        </is>
      </c>
      <c r="H266" s="7" t="inlineStr">
        <is>
          <t>Direct-response post</t>
        </is>
      </c>
      <c r="I266" s="7" t="inlineStr">
        <is>
          <t>O06_Post10_Whats-inside.png</t>
        </is>
      </c>
      <c r="J266" s="9" t="inlineStr"/>
      <c r="K266" s="7" t="inlineStr">
        <is>
          <t>The Clear Message Workbook: 4 files for ₦5,000.  - Clear Message Workbook (PDF + editable DOCX) - Customer Interview Kit</t>
        </is>
      </c>
    </row>
    <row r="267">
      <c r="A267" s="7" t="n">
        <v>24</v>
      </c>
      <c r="B267" s="8">
        <f>$B$3+23</f>
        <v/>
      </c>
      <c r="C267" s="7">
        <f>TEXT(B267,"ddd")</f>
        <v/>
      </c>
      <c r="D267" s="7" t="inlineStr">
        <is>
          <t>18:30</t>
        </is>
      </c>
      <c r="E267" s="7" t="inlineStr">
        <is>
          <t>LinkedIn</t>
        </is>
      </c>
      <c r="F267" s="7" t="inlineStr">
        <is>
          <t>optional</t>
        </is>
      </c>
      <c r="G267" s="7" t="inlineStr">
        <is>
          <t>06 The Clear Message Workbook</t>
        </is>
      </c>
      <c r="H267" s="7" t="inlineStr">
        <is>
          <t>Text post (no media needed)</t>
        </is>
      </c>
      <c r="I267" s="7" t="inlineStr">
        <is>
          <t>O06_LinkedIn1.txt</t>
        </is>
      </c>
      <c r="J267" s="9" t="inlineStr"/>
      <c r="K267" s="7" t="inlineStr">
        <is>
          <t>Most marketing problems in small businesses are message problems in disguise.  The website is fine, the posts go out, an</t>
        </is>
      </c>
    </row>
    <row r="268">
      <c r="A268" s="7" t="n">
        <v>24</v>
      </c>
      <c r="B268" s="8">
        <f>$B$3+23</f>
        <v/>
      </c>
      <c r="C268" s="7">
        <f>TEXT(B268,"ddd")</f>
        <v/>
      </c>
      <c r="D268" s="7" t="inlineStr">
        <is>
          <t>20:00</t>
        </is>
      </c>
      <c r="E268" s="7" t="inlineStr">
        <is>
          <t>Instagram + Facebook feed</t>
        </is>
      </c>
      <c r="F268" s="7" t="inlineStr">
        <is>
          <t>optional</t>
        </is>
      </c>
      <c r="G268" s="7" t="inlineStr">
        <is>
          <t>06 The Clear Message Workbook</t>
        </is>
      </c>
      <c r="H268" s="7" t="inlineStr">
        <is>
          <t>Second feed post</t>
        </is>
      </c>
      <c r="I268" s="7" t="inlineStr">
        <is>
          <t>O06_Post07_Tip.png</t>
        </is>
      </c>
      <c r="J268" s="9" t="inlineStr"/>
      <c r="K268" s="7" t="inlineStr">
        <is>
          <t xml:space="preserve">“We are the best” is not a difference. Every business says it.  A difference is something a customer could check: - Who </t>
        </is>
      </c>
    </row>
    <row r="269">
      <c r="A269" s="7" t="n">
        <v>24</v>
      </c>
      <c r="B269" s="8">
        <f>$B$3+23</f>
        <v/>
      </c>
      <c r="C269" s="7">
        <f>TEXT(B269,"ddd")</f>
        <v/>
      </c>
      <c r="D269" s="7" t="inlineStr">
        <is>
          <t>21:00</t>
        </is>
      </c>
      <c r="E269" s="7" t="inlineStr">
        <is>
          <t>WhatsApp Status</t>
        </is>
      </c>
      <c r="F269" s="7" t="inlineStr">
        <is>
          <t>optional</t>
        </is>
      </c>
      <c r="G269" s="7" t="inlineStr">
        <is>
          <t>06 The Clear Message Workbook</t>
        </is>
      </c>
      <c r="H269" s="7" t="inlineStr">
        <is>
          <t>Banner or price graphic</t>
        </is>
      </c>
      <c r="I269" s="7" t="inlineStr">
        <is>
          <t>O06_Post09_Mockup.png</t>
        </is>
      </c>
      <c r="J269" s="9" t="inlineStr"/>
      <c r="K269" s="7" t="inlineStr">
        <is>
          <t>4 files, one download.  The Clear Message Workbook: Clear Message Workbook; Customer Interview Kit; Message Bank; One-Pa</t>
        </is>
      </c>
    </row>
    <row r="270">
      <c r="A270" s="7" t="n">
        <v>25</v>
      </c>
      <c r="B270" s="8">
        <f>$B$3+24</f>
        <v/>
      </c>
      <c r="C270" s="7">
        <f>TEXT(B270,"ddd")</f>
        <v/>
      </c>
      <c r="D270" s="7" t="inlineStr">
        <is>
          <t>08:00</t>
        </is>
      </c>
      <c r="E270" s="7" t="inlineStr">
        <is>
          <t>Instagram + Facebook feed</t>
        </is>
      </c>
      <c r="F270" s="7" t="inlineStr">
        <is>
          <t>CORE</t>
        </is>
      </c>
      <c r="G270" s="7" t="inlineStr">
        <is>
          <t>07 The Everyday AI Prompt Desk</t>
        </is>
      </c>
      <c r="H270" s="7" t="inlineStr">
        <is>
          <t>Carousel or tip post</t>
        </is>
      </c>
      <c r="I270" s="7" t="inlineStr">
        <is>
          <t>O07_Carousel3_Slide1.png, O07_Carousel3_Slide2.png, O07_Carousel3_Slide3.png, O07_Carousel3_Slide4.png, O07_Carousel3_Slide5.png, O07_Carousel3_Slide6.png</t>
        </is>
      </c>
      <c r="J270" s="9" t="inlineStr"/>
      <c r="K270" s="7" t="inlineStr">
        <is>
          <t>What is inside the Prompt Desk  Four files.  Everyday AI Prompt Desk, ₦5,000. Message PROMPTS on WhatsApp: 0905 069 0837</t>
        </is>
      </c>
    </row>
    <row r="271">
      <c r="A271" s="7" t="n">
        <v>25</v>
      </c>
      <c r="B271" s="8">
        <f>$B$3+24</f>
        <v/>
      </c>
      <c r="C271" s="7">
        <f>TEXT(B271,"ddd")</f>
        <v/>
      </c>
      <c r="D271" s="7" t="inlineStr">
        <is>
          <t>09:00</t>
        </is>
      </c>
      <c r="E271" s="7" t="inlineStr">
        <is>
          <t>WhatsApp Status</t>
        </is>
      </c>
      <c r="F271" s="7" t="inlineStr">
        <is>
          <t>optional</t>
        </is>
      </c>
      <c r="G271" s="7" t="inlineStr">
        <is>
          <t>07 The Everyday AI Prompt Desk</t>
        </is>
      </c>
      <c r="H271" s="7" t="inlineStr">
        <is>
          <t>Launch / promo post</t>
        </is>
      </c>
      <c r="I271" s="7" t="inlineStr">
        <is>
          <t>O07_Post02_Launch.png</t>
        </is>
      </c>
      <c r="J271" s="9" t="inlineStr"/>
      <c r="K271" s="7" t="inlineStr">
        <is>
          <t>New from Easywurld: The Everyday AI Prompt Desk.  60 copy-paste prompts for everyday business tasks, a prompt-writing gu</t>
        </is>
      </c>
    </row>
    <row r="272">
      <c r="A272" s="7" t="n">
        <v>25</v>
      </c>
      <c r="B272" s="8">
        <f>$B$3+24</f>
        <v/>
      </c>
      <c r="C272" s="7">
        <f>TEXT(B272,"ddd")</f>
        <v/>
      </c>
      <c r="D272" s="7" t="inlineStr">
        <is>
          <t>10:30</t>
        </is>
      </c>
      <c r="E272" s="7" t="inlineStr">
        <is>
          <t>Instagram Story</t>
        </is>
      </c>
      <c r="F272" s="7" t="inlineStr">
        <is>
          <t>optional</t>
        </is>
      </c>
      <c r="G272" s="7" t="inlineStr">
        <is>
          <t>07 The Everyday AI Prompt Desk</t>
        </is>
      </c>
      <c r="H272" s="7" t="inlineStr">
        <is>
          <t>New-offer story</t>
        </is>
      </c>
      <c r="I272" s="7" t="inlineStr">
        <is>
          <t>O07_Story1_New.png</t>
        </is>
      </c>
      <c r="J272" s="9" t="inlineStr"/>
      <c r="K272" s="7" t="inlineStr">
        <is>
          <t>New: The Everyday AI Prompt Desk. Tap, then message PROMPTS on WhatsApp. Sticker text suggestion: “Message PROMPTS” Link</t>
        </is>
      </c>
    </row>
    <row r="273">
      <c r="A273" s="7" t="n">
        <v>25</v>
      </c>
      <c r="B273" s="8">
        <f>$B$3+24</f>
        <v/>
      </c>
      <c r="C273" s="7">
        <f>TEXT(B273,"ddd")</f>
        <v/>
      </c>
      <c r="D273" s="7" t="inlineStr">
        <is>
          <t>12:30</t>
        </is>
      </c>
      <c r="E273" s="7" t="inlineStr">
        <is>
          <t>Instagram Reel + Facebook video</t>
        </is>
      </c>
      <c r="F273" s="7" t="inlineStr">
        <is>
          <t>CORE</t>
        </is>
      </c>
      <c r="G273" s="7" t="inlineStr">
        <is>
          <t>07 The Everyday AI Prompt Desk</t>
        </is>
      </c>
      <c r="H273" s="7" t="inlineStr">
        <is>
          <t>Short video</t>
        </is>
      </c>
      <c r="I273" s="7" t="inlineStr">
        <is>
          <t>O07_Video3_Check-the-output.mp4</t>
        </is>
      </c>
      <c r="J273" s="9" t="inlineStr"/>
      <c r="K273" s="7" t="inlineStr">
        <is>
          <t>Check the output  Caption: Message PROMPTS on WhatsApp: 0905 069 0837 The Everyday AI Prompt Desk: ₦5,000. Do-it-yoursel</t>
        </is>
      </c>
    </row>
    <row r="274">
      <c r="A274" s="7" t="n">
        <v>25</v>
      </c>
      <c r="B274" s="8">
        <f>$B$3+24</f>
        <v/>
      </c>
      <c r="C274" s="7">
        <f>TEXT(B274,"ddd")</f>
        <v/>
      </c>
      <c r="D274" s="7" t="inlineStr">
        <is>
          <t>13:30</t>
        </is>
      </c>
      <c r="E274" s="7" t="inlineStr">
        <is>
          <t>WhatsApp Status</t>
        </is>
      </c>
      <c r="F274" s="7" t="inlineStr">
        <is>
          <t>optional</t>
        </is>
      </c>
      <c r="G274" s="7" t="inlineStr">
        <is>
          <t>07 The Everyday AI Prompt Desk</t>
        </is>
      </c>
      <c r="H274" s="7" t="inlineStr">
        <is>
          <t>What is inside</t>
        </is>
      </c>
      <c r="I274" s="7" t="inlineStr">
        <is>
          <t>O07_Post05_Value.png</t>
        </is>
      </c>
      <c r="J274" s="9" t="inlineStr"/>
      <c r="K274" s="7" t="inlineStr">
        <is>
          <t>What is inside the The Everyday AI Prompt Desk, and what we estimate it would cost to produce.  - AI Prompting Guide for</t>
        </is>
      </c>
    </row>
    <row r="275">
      <c r="A275" s="7" t="n">
        <v>25</v>
      </c>
      <c r="B275" s="8">
        <f>$B$3+24</f>
        <v/>
      </c>
      <c r="C275" s="7">
        <f>TEXT(B275,"ddd")</f>
        <v/>
      </c>
      <c r="D275" s="7" t="inlineStr">
        <is>
          <t>15:00</t>
        </is>
      </c>
      <c r="E275" s="7" t="inlineStr">
        <is>
          <t>Facebook feed</t>
        </is>
      </c>
      <c r="F275" s="7" t="inlineStr">
        <is>
          <t>CORE</t>
        </is>
      </c>
      <c r="G275" s="7" t="inlineStr">
        <is>
          <t>07 The Everyday AI Prompt Desk</t>
        </is>
      </c>
      <c r="H275" s="7" t="inlineStr">
        <is>
          <t>Honest-answer (objection) post</t>
        </is>
      </c>
      <c r="I275" s="7" t="inlineStr">
        <is>
          <t>O07_Post03_Honest-answer.png</t>
        </is>
      </c>
      <c r="J275" s="9" t="inlineStr"/>
      <c r="K275" s="7" t="inlineStr">
        <is>
          <t>No. The Everyday AI Prompt Desk is not a chatbot and does not connect to any account.  It is a guide, 60 copy-paste prom</t>
        </is>
      </c>
    </row>
    <row r="276">
      <c r="A276" s="7" t="n">
        <v>25</v>
      </c>
      <c r="B276" s="8">
        <f>$B$3+24</f>
        <v/>
      </c>
      <c r="C276" s="7">
        <f>TEXT(B276,"ddd")</f>
        <v/>
      </c>
      <c r="D276" s="7" t="inlineStr">
        <is>
          <t>16:00</t>
        </is>
      </c>
      <c r="E276" s="7" t="inlineStr">
        <is>
          <t>Instagram Story</t>
        </is>
      </c>
      <c r="F276" s="7" t="inlineStr">
        <is>
          <t>optional</t>
        </is>
      </c>
      <c r="G276" s="7" t="inlineStr">
        <is>
          <t>07 The Everyday AI Prompt Desk</t>
        </is>
      </c>
      <c r="H276" s="7" t="inlineStr">
        <is>
          <t>Price story</t>
        </is>
      </c>
      <c r="I276" s="7" t="inlineStr">
        <is>
          <t>O07_Story2_Price.png</t>
        </is>
      </c>
      <c r="J276" s="9" t="inlineStr"/>
      <c r="K276" s="7" t="inlineStr">
        <is>
          <t>The Everyday AI Prompt Desk: ₦5,000. Estimated replacement cost of what is inside: ₦35,000 (our estimate, not a previous</t>
        </is>
      </c>
    </row>
    <row r="277">
      <c r="A277" s="7" t="n">
        <v>25</v>
      </c>
      <c r="B277" s="8">
        <f>$B$3+24</f>
        <v/>
      </c>
      <c r="C277" s="7">
        <f>TEXT(B277,"ddd")</f>
        <v/>
      </c>
      <c r="D277" s="7" t="inlineStr">
        <is>
          <t>17:00</t>
        </is>
      </c>
      <c r="E277" s="7" t="inlineStr">
        <is>
          <t>WhatsApp Status</t>
        </is>
      </c>
      <c r="F277" s="7" t="inlineStr">
        <is>
          <t>CORE</t>
        </is>
      </c>
      <c r="G277" s="7" t="inlineStr">
        <is>
          <t>07 The Everyday AI Prompt Desk</t>
        </is>
      </c>
      <c r="H277" s="7" t="inlineStr">
        <is>
          <t>Direct-response post</t>
        </is>
      </c>
      <c r="I277" s="7" t="inlineStr">
        <is>
          <t>O07_Post10_Whats-inside.png</t>
        </is>
      </c>
      <c r="J277" s="9" t="inlineStr"/>
      <c r="K277" s="7" t="inlineStr">
        <is>
          <t>The Everyday AI Prompt Desk: 4 files for ₦5,000.  - AI Prompting Guide for Small Business (PDF + editable DOCX) - 60-Pro</t>
        </is>
      </c>
    </row>
    <row r="278">
      <c r="A278" s="7" t="n">
        <v>25</v>
      </c>
      <c r="B278" s="8">
        <f>$B$3+24</f>
        <v/>
      </c>
      <c r="C278" s="7">
        <f>TEXT(B278,"ddd")</f>
        <v/>
      </c>
      <c r="D278" s="7" t="inlineStr">
        <is>
          <t>18:30</t>
        </is>
      </c>
      <c r="E278" s="7" t="inlineStr">
        <is>
          <t>LinkedIn</t>
        </is>
      </c>
      <c r="F278" s="7" t="inlineStr">
        <is>
          <t>optional</t>
        </is>
      </c>
      <c r="G278" s="7" t="inlineStr">
        <is>
          <t>07 The Everyday AI Prompt Desk</t>
        </is>
      </c>
      <c r="H278" s="7" t="inlineStr">
        <is>
          <t>Text post (no media needed)</t>
        </is>
      </c>
      <c r="I278" s="7" t="inlineStr">
        <is>
          <t>O07_LinkedIn1.txt</t>
        </is>
      </c>
      <c r="J278" s="9" t="inlineStr"/>
      <c r="K278" s="7" t="inlineStr">
        <is>
          <t>Most small businesses I speak to are curious about AI tools and unsure how to use them safely.  Three rules I use: 1. Gi</t>
        </is>
      </c>
    </row>
    <row r="279">
      <c r="A279" s="7" t="n">
        <v>25</v>
      </c>
      <c r="B279" s="8">
        <f>$B$3+24</f>
        <v/>
      </c>
      <c r="C279" s="7">
        <f>TEXT(B279,"ddd")</f>
        <v/>
      </c>
      <c r="D279" s="7" t="inlineStr">
        <is>
          <t>20:00</t>
        </is>
      </c>
      <c r="E279" s="7" t="inlineStr">
        <is>
          <t>Instagram + Facebook feed</t>
        </is>
      </c>
      <c r="F279" s="7" t="inlineStr">
        <is>
          <t>optional</t>
        </is>
      </c>
      <c r="G279" s="7" t="inlineStr">
        <is>
          <t>07 The Everyday AI Prompt Desk</t>
        </is>
      </c>
      <c r="H279" s="7" t="inlineStr">
        <is>
          <t>Second feed post</t>
        </is>
      </c>
      <c r="I279" s="7" t="inlineStr">
        <is>
          <t>O07_Post07_Tip.png</t>
        </is>
      </c>
      <c r="J279" s="9" t="inlineStr"/>
      <c r="K279" s="7" t="inlineStr">
        <is>
          <t>AI tools can write quickly. They can also invent facts, prices and promises, and sound completely sure.  Before sending:</t>
        </is>
      </c>
    </row>
    <row r="280">
      <c r="A280" s="7" t="n">
        <v>25</v>
      </c>
      <c r="B280" s="8">
        <f>$B$3+24</f>
        <v/>
      </c>
      <c r="C280" s="7">
        <f>TEXT(B280,"ddd")</f>
        <v/>
      </c>
      <c r="D280" s="7" t="inlineStr">
        <is>
          <t>21:00</t>
        </is>
      </c>
      <c r="E280" s="7" t="inlineStr">
        <is>
          <t>WhatsApp Status</t>
        </is>
      </c>
      <c r="F280" s="7" t="inlineStr">
        <is>
          <t>optional</t>
        </is>
      </c>
      <c r="G280" s="7" t="inlineStr">
        <is>
          <t>07 The Everyday AI Prompt Desk</t>
        </is>
      </c>
      <c r="H280" s="7" t="inlineStr">
        <is>
          <t>Banner or price graphic</t>
        </is>
      </c>
      <c r="I280" s="7" t="inlineStr">
        <is>
          <t>O07_Post09_Mockup.png</t>
        </is>
      </c>
      <c r="J280" s="9" t="inlineStr"/>
      <c r="K280" s="7" t="inlineStr">
        <is>
          <t>4 files, one download.  The Everyday AI Prompt Desk: AI Prompting Guide for Small Business; 60-Prompt Library; Enquiry A</t>
        </is>
      </c>
    </row>
    <row r="281">
      <c r="A281" s="7" t="n">
        <v>26</v>
      </c>
      <c r="B281" s="8">
        <f>$B$3+25</f>
        <v/>
      </c>
      <c r="C281" s="7">
        <f>TEXT(B281,"ddd")</f>
        <v/>
      </c>
      <c r="D281" s="7" t="inlineStr">
        <is>
          <t>08:00</t>
        </is>
      </c>
      <c r="E281" s="7" t="inlineStr">
        <is>
          <t>Instagram + Facebook feed</t>
        </is>
      </c>
      <c r="F281" s="7" t="inlineStr">
        <is>
          <t>CORE</t>
        </is>
      </c>
      <c r="G281" s="7" t="inlineStr">
        <is>
          <t>08 The Proposal &amp; Report Template Pack</t>
        </is>
      </c>
      <c r="H281" s="7" t="inlineStr">
        <is>
          <t>Carousel or tip post</t>
        </is>
      </c>
      <c r="I281" s="7" t="inlineStr">
        <is>
          <t>O08_Carousel3_Slide1.png, O08_Carousel3_Slide2.png, O08_Carousel3_Slide3.png, O08_Carousel3_Slide4.png, O08_Carousel3_Slide5.png, O08_Carousel3_Slide6.png</t>
        </is>
      </c>
      <c r="J281" s="9" t="inlineStr"/>
      <c r="K281" s="7" t="inlineStr">
        <is>
          <t>What is inside the Template Pack  Four files.  Proposal &amp; Report Template Pack, ₦5,000. Message TEMPLATES on WhatsApp: 0</t>
        </is>
      </c>
    </row>
    <row r="282">
      <c r="A282" s="7" t="n">
        <v>26</v>
      </c>
      <c r="B282" s="8">
        <f>$B$3+25</f>
        <v/>
      </c>
      <c r="C282" s="7">
        <f>TEXT(B282,"ddd")</f>
        <v/>
      </c>
      <c r="D282" s="7" t="inlineStr">
        <is>
          <t>09:00</t>
        </is>
      </c>
      <c r="E282" s="7" t="inlineStr">
        <is>
          <t>WhatsApp Status</t>
        </is>
      </c>
      <c r="F282" s="7" t="inlineStr">
        <is>
          <t>optional</t>
        </is>
      </c>
      <c r="G282" s="7" t="inlineStr">
        <is>
          <t>08 The Proposal &amp; Report Template Pack</t>
        </is>
      </c>
      <c r="H282" s="7" t="inlineStr">
        <is>
          <t>Launch / promo post</t>
        </is>
      </c>
      <c r="I282" s="7" t="inlineStr">
        <is>
          <t>O08_Post02_Launch.png</t>
        </is>
      </c>
      <c r="J282" s="9" t="inlineStr"/>
      <c r="K282" s="7" t="inlineStr">
        <is>
          <t>New from Easywurld: The Proposal &amp; Report Template Pack.  Editable proposal, quote, report and summary templates with wo</t>
        </is>
      </c>
    </row>
    <row r="283">
      <c r="A283" s="7" t="n">
        <v>26</v>
      </c>
      <c r="B283" s="8">
        <f>$B$3+25</f>
        <v/>
      </c>
      <c r="C283" s="7">
        <f>TEXT(B283,"ddd")</f>
        <v/>
      </c>
      <c r="D283" s="7" t="inlineStr">
        <is>
          <t>10:30</t>
        </is>
      </c>
      <c r="E283" s="7" t="inlineStr">
        <is>
          <t>Instagram Story</t>
        </is>
      </c>
      <c r="F283" s="7" t="inlineStr">
        <is>
          <t>optional</t>
        </is>
      </c>
      <c r="G283" s="7" t="inlineStr">
        <is>
          <t>08 The Proposal &amp; Report Template Pack</t>
        </is>
      </c>
      <c r="H283" s="7" t="inlineStr">
        <is>
          <t>New-offer story</t>
        </is>
      </c>
      <c r="I283" s="7" t="inlineStr">
        <is>
          <t>O08_Story1_New.png</t>
        </is>
      </c>
      <c r="J283" s="9" t="inlineStr"/>
      <c r="K283" s="7" t="inlineStr">
        <is>
          <t>New: The Proposal &amp; Report Template Pack. Tap, then message TEMPLATES on WhatsApp. Sticker text suggestion: “Message TEM</t>
        </is>
      </c>
    </row>
    <row r="284">
      <c r="A284" s="7" t="n">
        <v>26</v>
      </c>
      <c r="B284" s="8">
        <f>$B$3+25</f>
        <v/>
      </c>
      <c r="C284" s="7">
        <f>TEXT(B284,"ddd")</f>
        <v/>
      </c>
      <c r="D284" s="7" t="inlineStr">
        <is>
          <t>12:30</t>
        </is>
      </c>
      <c r="E284" s="7" t="inlineStr">
        <is>
          <t>Instagram Reel + Facebook video</t>
        </is>
      </c>
      <c r="F284" s="7" t="inlineStr">
        <is>
          <t>CORE</t>
        </is>
      </c>
      <c r="G284" s="7" t="inlineStr">
        <is>
          <t>08 The Proposal &amp; Report Template Pack</t>
        </is>
      </c>
      <c r="H284" s="7" t="inlineStr">
        <is>
          <t>Short video</t>
        </is>
      </c>
      <c r="I284" s="7" t="inlineStr">
        <is>
          <t>O08_Video3_Follow-up.mp4</t>
        </is>
      </c>
      <c r="J284" s="9" t="inlineStr"/>
      <c r="K284" s="7" t="inlineStr">
        <is>
          <t>Follow up  Caption: Message TEMPLATES on WhatsApp: 0905 069 0837 The Proposal &amp; Report Template Pack: ₦5,000. Do-it-your</t>
        </is>
      </c>
    </row>
    <row r="285">
      <c r="A285" s="7" t="n">
        <v>26</v>
      </c>
      <c r="B285" s="8">
        <f>$B$3+25</f>
        <v/>
      </c>
      <c r="C285" s="7">
        <f>TEXT(B285,"ddd")</f>
        <v/>
      </c>
      <c r="D285" s="7" t="inlineStr">
        <is>
          <t>13:30</t>
        </is>
      </c>
      <c r="E285" s="7" t="inlineStr">
        <is>
          <t>WhatsApp Status</t>
        </is>
      </c>
      <c r="F285" s="7" t="inlineStr">
        <is>
          <t>optional</t>
        </is>
      </c>
      <c r="G285" s="7" t="inlineStr">
        <is>
          <t>08 The Proposal &amp; Report Template Pack</t>
        </is>
      </c>
      <c r="H285" s="7" t="inlineStr">
        <is>
          <t>What is inside</t>
        </is>
      </c>
      <c r="I285" s="7" t="inlineStr">
        <is>
          <t>O08_Post05_Value.png</t>
        </is>
      </c>
      <c r="J285" s="9" t="inlineStr"/>
      <c r="K285" s="7" t="inlineStr">
        <is>
          <t xml:space="preserve">What is inside the The Proposal &amp; Report Template Pack, and what we estimate it would cost to produce.  - Proposals and </t>
        </is>
      </c>
    </row>
    <row r="286">
      <c r="A286" s="7" t="n">
        <v>26</v>
      </c>
      <c r="B286" s="8">
        <f>$B$3+25</f>
        <v/>
      </c>
      <c r="C286" s="7">
        <f>TEXT(B286,"ddd")</f>
        <v/>
      </c>
      <c r="D286" s="7" t="inlineStr">
        <is>
          <t>15:00</t>
        </is>
      </c>
      <c r="E286" s="7" t="inlineStr">
        <is>
          <t>Facebook feed</t>
        </is>
      </c>
      <c r="F286" s="7" t="inlineStr">
        <is>
          <t>CORE</t>
        </is>
      </c>
      <c r="G286" s="7" t="inlineStr">
        <is>
          <t>08 The Proposal &amp; Report Template Pack</t>
        </is>
      </c>
      <c r="H286" s="7" t="inlineStr">
        <is>
          <t>Honest-answer (objection) post</t>
        </is>
      </c>
      <c r="I286" s="7" t="inlineStr">
        <is>
          <t>O08_Post03_Honest-answer.png</t>
        </is>
      </c>
      <c r="J286" s="9" t="inlineStr"/>
      <c r="K286" s="7" t="inlineStr">
        <is>
          <t>No. The templates in the Proposal &amp; Report Template Pack are general business documents, not legal contracts.  Have your</t>
        </is>
      </c>
    </row>
    <row r="287">
      <c r="A287" s="7" t="n">
        <v>26</v>
      </c>
      <c r="B287" s="8">
        <f>$B$3+25</f>
        <v/>
      </c>
      <c r="C287" s="7">
        <f>TEXT(B287,"ddd")</f>
        <v/>
      </c>
      <c r="D287" s="7" t="inlineStr">
        <is>
          <t>16:00</t>
        </is>
      </c>
      <c r="E287" s="7" t="inlineStr">
        <is>
          <t>Instagram Story</t>
        </is>
      </c>
      <c r="F287" s="7" t="inlineStr">
        <is>
          <t>optional</t>
        </is>
      </c>
      <c r="G287" s="7" t="inlineStr">
        <is>
          <t>08 The Proposal &amp; Report Template Pack</t>
        </is>
      </c>
      <c r="H287" s="7" t="inlineStr">
        <is>
          <t>Price story</t>
        </is>
      </c>
      <c r="I287" s="7" t="inlineStr">
        <is>
          <t>O08_Story2_Price.png</t>
        </is>
      </c>
      <c r="J287" s="9" t="inlineStr"/>
      <c r="K287" s="7" t="inlineStr">
        <is>
          <t xml:space="preserve">The Proposal &amp; Report Template Pack: ₦5,000. Estimated replacement cost of what is inside: ₦32,500 (our estimate, not a </t>
        </is>
      </c>
    </row>
    <row r="288">
      <c r="A288" s="7" t="n">
        <v>26</v>
      </c>
      <c r="B288" s="8">
        <f>$B$3+25</f>
        <v/>
      </c>
      <c r="C288" s="7">
        <f>TEXT(B288,"ddd")</f>
        <v/>
      </c>
      <c r="D288" s="7" t="inlineStr">
        <is>
          <t>17:00</t>
        </is>
      </c>
      <c r="E288" s="7" t="inlineStr">
        <is>
          <t>WhatsApp Status</t>
        </is>
      </c>
      <c r="F288" s="7" t="inlineStr">
        <is>
          <t>CORE</t>
        </is>
      </c>
      <c r="G288" s="7" t="inlineStr">
        <is>
          <t>08 The Proposal &amp; Report Template Pack</t>
        </is>
      </c>
      <c r="H288" s="7" t="inlineStr">
        <is>
          <t>Direct-response post</t>
        </is>
      </c>
      <c r="I288" s="7" t="inlineStr">
        <is>
          <t>O08_Post10_Whats-inside.png</t>
        </is>
      </c>
      <c r="J288" s="9" t="inlineStr"/>
      <c r="K288" s="7" t="inlineStr">
        <is>
          <t>The Proposal &amp; Report Template Pack: 4 files for ₦5,000.  - Proposals and Reports Guide (PDF + editable DOCX) - Proposal</t>
        </is>
      </c>
    </row>
    <row r="289">
      <c r="A289" s="7" t="n">
        <v>26</v>
      </c>
      <c r="B289" s="8">
        <f>$B$3+25</f>
        <v/>
      </c>
      <c r="C289" s="7">
        <f>TEXT(B289,"ddd")</f>
        <v/>
      </c>
      <c r="D289" s="7" t="inlineStr">
        <is>
          <t>18:30</t>
        </is>
      </c>
      <c r="E289" s="7" t="inlineStr">
        <is>
          <t>LinkedIn</t>
        </is>
      </c>
      <c r="F289" s="7" t="inlineStr">
        <is>
          <t>optional</t>
        </is>
      </c>
      <c r="G289" s="7" t="inlineStr">
        <is>
          <t>08 The Proposal &amp; Report Template Pack</t>
        </is>
      </c>
      <c r="H289" s="7" t="inlineStr">
        <is>
          <t>Text post (no media needed)</t>
        </is>
      </c>
      <c r="I289" s="7" t="inlineStr">
        <is>
          <t>O08_LinkedIn1.txt</t>
        </is>
      </c>
      <c r="J289" s="9" t="inlineStr"/>
      <c r="K289" s="7" t="inlineStr">
        <is>
          <t>A proposal is not a longer quote. It is a short argument: here is your problem, here is my plan, here is the price, here</t>
        </is>
      </c>
    </row>
    <row r="290">
      <c r="A290" s="7" t="n">
        <v>26</v>
      </c>
      <c r="B290" s="8">
        <f>$B$3+25</f>
        <v/>
      </c>
      <c r="C290" s="7">
        <f>TEXT(B290,"ddd")</f>
        <v/>
      </c>
      <c r="D290" s="7" t="inlineStr">
        <is>
          <t>20:00</t>
        </is>
      </c>
      <c r="E290" s="7" t="inlineStr">
        <is>
          <t>Instagram + Facebook feed</t>
        </is>
      </c>
      <c r="F290" s="7" t="inlineStr">
        <is>
          <t>optional</t>
        </is>
      </c>
      <c r="G290" s="7" t="inlineStr">
        <is>
          <t>08 The Proposal &amp; Report Template Pack</t>
        </is>
      </c>
      <c r="H290" s="7" t="inlineStr">
        <is>
          <t>Second feed post</t>
        </is>
      </c>
      <c r="I290" s="7" t="inlineStr">
        <is>
          <t>O08_Post07_Tip.png</t>
        </is>
      </c>
      <c r="J290" s="9" t="inlineStr"/>
      <c r="K290" s="7" t="inlineStr">
        <is>
          <t xml:space="preserve">After you send a proposal: - Day 2: confirm they received it - Day 5: offer to answer questions - Day 10: polite close  </t>
        </is>
      </c>
    </row>
    <row r="291">
      <c r="A291" s="7" t="n">
        <v>26</v>
      </c>
      <c r="B291" s="8">
        <f>$B$3+25</f>
        <v/>
      </c>
      <c r="C291" s="7">
        <f>TEXT(B291,"ddd")</f>
        <v/>
      </c>
      <c r="D291" s="7" t="inlineStr">
        <is>
          <t>21:00</t>
        </is>
      </c>
      <c r="E291" s="7" t="inlineStr">
        <is>
          <t>WhatsApp Status</t>
        </is>
      </c>
      <c r="F291" s="7" t="inlineStr">
        <is>
          <t>optional</t>
        </is>
      </c>
      <c r="G291" s="7" t="inlineStr">
        <is>
          <t>08 The Proposal &amp; Report Template Pack</t>
        </is>
      </c>
      <c r="H291" s="7" t="inlineStr">
        <is>
          <t>Banner or price graphic</t>
        </is>
      </c>
      <c r="I291" s="7" t="inlineStr">
        <is>
          <t>O08_Post09_Mockup.png</t>
        </is>
      </c>
      <c r="J291" s="9" t="inlineStr"/>
      <c r="K291" s="7" t="inlineStr">
        <is>
          <t xml:space="preserve">4 files, one download.  The Proposal &amp; Report Template Pack: Proposals and Reports Guide; Proposal Template with Worked </t>
        </is>
      </c>
    </row>
    <row r="292">
      <c r="A292" s="7" t="n">
        <v>27</v>
      </c>
      <c r="B292" s="8">
        <f>$B$3+26</f>
        <v/>
      </c>
      <c r="C292" s="7">
        <f>TEXT(B292,"ddd")</f>
        <v/>
      </c>
      <c r="D292" s="7" t="inlineStr">
        <is>
          <t>08:00</t>
        </is>
      </c>
      <c r="E292" s="7" t="inlineStr">
        <is>
          <t>Instagram + Facebook feed</t>
        </is>
      </c>
      <c r="F292" s="7" t="inlineStr">
        <is>
          <t>CORE</t>
        </is>
      </c>
      <c r="G292" s="7" t="inlineStr">
        <is>
          <t>09 The Website Launch &amp; Care Handbook</t>
        </is>
      </c>
      <c r="H292" s="7" t="inlineStr">
        <is>
          <t>Carousel or tip post</t>
        </is>
      </c>
      <c r="I292" s="7" t="inlineStr">
        <is>
          <t>O09_Carousel3_Slide1.png, O09_Carousel3_Slide2.png, O09_Carousel3_Slide3.png, O09_Carousel3_Slide4.png, O09_Carousel3_Slide5.png, O09_Carousel3_Slide6.png</t>
        </is>
      </c>
      <c r="J292" s="9" t="inlineStr"/>
      <c r="K292" s="7" t="inlineStr">
        <is>
          <t>What is inside the Handbook  Four files.  Website Launch &amp; Care Handbook, ₦5,000. Message LAUNCH on WhatsApp: 0905 069 0</t>
        </is>
      </c>
    </row>
    <row r="293">
      <c r="A293" s="7" t="n">
        <v>27</v>
      </c>
      <c r="B293" s="8">
        <f>$B$3+26</f>
        <v/>
      </c>
      <c r="C293" s="7">
        <f>TEXT(B293,"ddd")</f>
        <v/>
      </c>
      <c r="D293" s="7" t="inlineStr">
        <is>
          <t>09:00</t>
        </is>
      </c>
      <c r="E293" s="7" t="inlineStr">
        <is>
          <t>WhatsApp Status</t>
        </is>
      </c>
      <c r="F293" s="7" t="inlineStr">
        <is>
          <t>optional</t>
        </is>
      </c>
      <c r="G293" s="7" t="inlineStr">
        <is>
          <t>09 The Website Launch &amp; Care Handbook</t>
        </is>
      </c>
      <c r="H293" s="7" t="inlineStr">
        <is>
          <t>Launch / promo post</t>
        </is>
      </c>
      <c r="I293" s="7" t="inlineStr">
        <is>
          <t>O09_Post02_Launch.png</t>
        </is>
      </c>
      <c r="J293" s="9" t="inlineStr"/>
      <c r="K293" s="7" t="inlineStr">
        <is>
          <t>New from Easywurld: The Website Launch &amp; Care Handbook.  Everything between “I need a website” and “it is live and looke</t>
        </is>
      </c>
    </row>
    <row r="294">
      <c r="A294" s="7" t="n">
        <v>27</v>
      </c>
      <c r="B294" s="8">
        <f>$B$3+26</f>
        <v/>
      </c>
      <c r="C294" s="7">
        <f>TEXT(B294,"ddd")</f>
        <v/>
      </c>
      <c r="D294" s="7" t="inlineStr">
        <is>
          <t>10:30</t>
        </is>
      </c>
      <c r="E294" s="7" t="inlineStr">
        <is>
          <t>Instagram Story</t>
        </is>
      </c>
      <c r="F294" s="7" t="inlineStr">
        <is>
          <t>optional</t>
        </is>
      </c>
      <c r="G294" s="7" t="inlineStr">
        <is>
          <t>09 The Website Launch &amp; Care Handbook</t>
        </is>
      </c>
      <c r="H294" s="7" t="inlineStr">
        <is>
          <t>New-offer story</t>
        </is>
      </c>
      <c r="I294" s="7" t="inlineStr">
        <is>
          <t>O09_Story1_New.png</t>
        </is>
      </c>
      <c r="J294" s="9" t="inlineStr"/>
      <c r="K294" s="7" t="inlineStr">
        <is>
          <t>New: The Website Launch &amp; Care Handbook. Tap, then message LAUNCH on WhatsApp. Sticker text suggestion: “Message LAUNCH”</t>
        </is>
      </c>
    </row>
    <row r="295">
      <c r="A295" s="7" t="n">
        <v>27</v>
      </c>
      <c r="B295" s="8">
        <f>$B$3+26</f>
        <v/>
      </c>
      <c r="C295" s="7">
        <f>TEXT(B295,"ddd")</f>
        <v/>
      </c>
      <c r="D295" s="7" t="inlineStr">
        <is>
          <t>12:30</t>
        </is>
      </c>
      <c r="E295" s="7" t="inlineStr">
        <is>
          <t>Instagram Reel + Facebook video</t>
        </is>
      </c>
      <c r="F295" s="7" t="inlineStr">
        <is>
          <t>CORE</t>
        </is>
      </c>
      <c r="G295" s="7" t="inlineStr">
        <is>
          <t>09 The Website Launch &amp; Care Handbook</t>
        </is>
      </c>
      <c r="H295" s="7" t="inlineStr">
        <is>
          <t>Short video</t>
        </is>
      </c>
      <c r="I295" s="7" t="inlineStr">
        <is>
          <t>O09_Video3_Write-a-brief.mp4</t>
        </is>
      </c>
      <c r="J295" s="9" t="inlineStr"/>
      <c r="K295" s="7" t="inlineStr">
        <is>
          <t>Write a brief  Caption: Message LAUNCH on WhatsApp: 0905 069 0837 The Website Launch &amp; Care Handbook: ₦5,000. Do-it-your</t>
        </is>
      </c>
    </row>
    <row r="296">
      <c r="A296" s="7" t="n">
        <v>27</v>
      </c>
      <c r="B296" s="8">
        <f>$B$3+26</f>
        <v/>
      </c>
      <c r="C296" s="7">
        <f>TEXT(B296,"ddd")</f>
        <v/>
      </c>
      <c r="D296" s="7" t="inlineStr">
        <is>
          <t>13:30</t>
        </is>
      </c>
      <c r="E296" s="7" t="inlineStr">
        <is>
          <t>WhatsApp Status</t>
        </is>
      </c>
      <c r="F296" s="7" t="inlineStr">
        <is>
          <t>optional</t>
        </is>
      </c>
      <c r="G296" s="7" t="inlineStr">
        <is>
          <t>09 The Website Launch &amp; Care Handbook</t>
        </is>
      </c>
      <c r="H296" s="7" t="inlineStr">
        <is>
          <t>What is inside</t>
        </is>
      </c>
      <c r="I296" s="7" t="inlineStr">
        <is>
          <t>O09_Post05_Value.png</t>
        </is>
      </c>
      <c r="J296" s="9" t="inlineStr"/>
      <c r="K296" s="7" t="inlineStr">
        <is>
          <t xml:space="preserve">What is inside the The Website Launch &amp; Care Handbook, and what we estimate it would cost to produce.  - Website Launch </t>
        </is>
      </c>
    </row>
    <row r="297">
      <c r="A297" s="7" t="n">
        <v>27</v>
      </c>
      <c r="B297" s="8">
        <f>$B$3+26</f>
        <v/>
      </c>
      <c r="C297" s="7">
        <f>TEXT(B297,"ddd")</f>
        <v/>
      </c>
      <c r="D297" s="7" t="inlineStr">
        <is>
          <t>15:00</t>
        </is>
      </c>
      <c r="E297" s="7" t="inlineStr">
        <is>
          <t>Facebook feed</t>
        </is>
      </c>
      <c r="F297" s="7" t="inlineStr">
        <is>
          <t>CORE</t>
        </is>
      </c>
      <c r="G297" s="7" t="inlineStr">
        <is>
          <t>09 The Website Launch &amp; Care Handbook</t>
        </is>
      </c>
      <c r="H297" s="7" t="inlineStr">
        <is>
          <t>Honest-answer (objection) post</t>
        </is>
      </c>
      <c r="I297" s="7" t="inlineStr">
        <is>
          <t>O09_Post03_Honest-answer.png</t>
        </is>
      </c>
      <c r="J297" s="9" t="inlineStr"/>
      <c r="K297" s="7" t="inlineStr">
        <is>
          <t>Honest answer: not with this ₦5,000 Handbook. It is a guide and set of tools: planning, a brief, a launch tracker, a car</t>
        </is>
      </c>
    </row>
    <row r="298">
      <c r="A298" s="7" t="n">
        <v>27</v>
      </c>
      <c r="B298" s="8">
        <f>$B$3+26</f>
        <v/>
      </c>
      <c r="C298" s="7">
        <f>TEXT(B298,"ddd")</f>
        <v/>
      </c>
      <c r="D298" s="7" t="inlineStr">
        <is>
          <t>16:00</t>
        </is>
      </c>
      <c r="E298" s="7" t="inlineStr">
        <is>
          <t>Instagram Story</t>
        </is>
      </c>
      <c r="F298" s="7" t="inlineStr">
        <is>
          <t>optional</t>
        </is>
      </c>
      <c r="G298" s="7" t="inlineStr">
        <is>
          <t>09 The Website Launch &amp; Care Handbook</t>
        </is>
      </c>
      <c r="H298" s="7" t="inlineStr">
        <is>
          <t>Price story</t>
        </is>
      </c>
      <c r="I298" s="7" t="inlineStr">
        <is>
          <t>O09_Story2_Price.png</t>
        </is>
      </c>
      <c r="J298" s="9" t="inlineStr"/>
      <c r="K298" s="7" t="inlineStr">
        <is>
          <t>The Website Launch &amp; Care Handbook: ₦5,000. Estimated replacement cost of what is inside: ₦32,500 (our estimate, not a p</t>
        </is>
      </c>
    </row>
    <row r="299">
      <c r="A299" s="7" t="n">
        <v>27</v>
      </c>
      <c r="B299" s="8">
        <f>$B$3+26</f>
        <v/>
      </c>
      <c r="C299" s="7">
        <f>TEXT(B299,"ddd")</f>
        <v/>
      </c>
      <c r="D299" s="7" t="inlineStr">
        <is>
          <t>17:00</t>
        </is>
      </c>
      <c r="E299" s="7" t="inlineStr">
        <is>
          <t>WhatsApp Status</t>
        </is>
      </c>
      <c r="F299" s="7" t="inlineStr">
        <is>
          <t>CORE</t>
        </is>
      </c>
      <c r="G299" s="7" t="inlineStr">
        <is>
          <t>09 The Website Launch &amp; Care Handbook</t>
        </is>
      </c>
      <c r="H299" s="7" t="inlineStr">
        <is>
          <t>Direct-response post</t>
        </is>
      </c>
      <c r="I299" s="7" t="inlineStr">
        <is>
          <t>O09_Post10_Whats-inside.png</t>
        </is>
      </c>
      <c r="J299" s="9" t="inlineStr"/>
      <c r="K299" s="7" t="inlineStr">
        <is>
          <t>The Website Launch &amp; Care Handbook: 4 files for ₦5,000.  - Website Launch &amp; Care Handbook (PDF + editable DOCX) - Websit</t>
        </is>
      </c>
    </row>
    <row r="300">
      <c r="A300" s="7" t="n">
        <v>27</v>
      </c>
      <c r="B300" s="8">
        <f>$B$3+26</f>
        <v/>
      </c>
      <c r="C300" s="7">
        <f>TEXT(B300,"ddd")</f>
        <v/>
      </c>
      <c r="D300" s="7" t="inlineStr">
        <is>
          <t>18:30</t>
        </is>
      </c>
      <c r="E300" s="7" t="inlineStr">
        <is>
          <t>LinkedIn</t>
        </is>
      </c>
      <c r="F300" s="7" t="inlineStr">
        <is>
          <t>optional</t>
        </is>
      </c>
      <c r="G300" s="7" t="inlineStr">
        <is>
          <t>09 The Website Launch &amp; Care Handbook</t>
        </is>
      </c>
      <c r="H300" s="7" t="inlineStr">
        <is>
          <t>Text post (no media needed)</t>
        </is>
      </c>
      <c r="I300" s="7" t="inlineStr">
        <is>
          <t>O09_LinkedIn1.txt</t>
        </is>
      </c>
      <c r="J300" s="9" t="inlineStr"/>
      <c r="K300" s="7" t="inlineStr">
        <is>
          <t>The most expensive website mistakes I see are not design mistakes. They are ownership mistakes.  The domain is in the de</t>
        </is>
      </c>
    </row>
    <row r="301">
      <c r="A301" s="7" t="n">
        <v>27</v>
      </c>
      <c r="B301" s="8">
        <f>$B$3+26</f>
        <v/>
      </c>
      <c r="C301" s="7">
        <f>TEXT(B301,"ddd")</f>
        <v/>
      </c>
      <c r="D301" s="7" t="inlineStr">
        <is>
          <t>20:00</t>
        </is>
      </c>
      <c r="E301" s="7" t="inlineStr">
        <is>
          <t>Instagram + Facebook feed</t>
        </is>
      </c>
      <c r="F301" s="7" t="inlineStr">
        <is>
          <t>optional</t>
        </is>
      </c>
      <c r="G301" s="7" t="inlineStr">
        <is>
          <t>09 The Website Launch &amp; Care Handbook</t>
        </is>
      </c>
      <c r="H301" s="7" t="inlineStr">
        <is>
          <t>Second feed post</t>
        </is>
      </c>
      <c r="I301" s="7" t="inlineStr">
        <is>
          <t>O09_Post07_Tip.png</t>
        </is>
      </c>
      <c r="J301" s="9" t="inlineStr"/>
      <c r="K301" s="7" t="inlineStr">
        <is>
          <t xml:space="preserve">A clear brief covers: - Goal of the site - Who it is for - Pages needed - Content you have - Features you need - Budget </t>
        </is>
      </c>
    </row>
    <row r="302">
      <c r="A302" s="7" t="n">
        <v>27</v>
      </c>
      <c r="B302" s="8">
        <f>$B$3+26</f>
        <v/>
      </c>
      <c r="C302" s="7">
        <f>TEXT(B302,"ddd")</f>
        <v/>
      </c>
      <c r="D302" s="7" t="inlineStr">
        <is>
          <t>21:00</t>
        </is>
      </c>
      <c r="E302" s="7" t="inlineStr">
        <is>
          <t>WhatsApp Status</t>
        </is>
      </c>
      <c r="F302" s="7" t="inlineStr">
        <is>
          <t>optional</t>
        </is>
      </c>
      <c r="G302" s="7" t="inlineStr">
        <is>
          <t>09 The Website Launch &amp; Care Handbook</t>
        </is>
      </c>
      <c r="H302" s="7" t="inlineStr">
        <is>
          <t>Banner or price graphic</t>
        </is>
      </c>
      <c r="I302" s="7" t="inlineStr">
        <is>
          <t>O09_Post09_Mockup.png</t>
        </is>
      </c>
      <c r="J302" s="9" t="inlineStr"/>
      <c r="K302" s="7" t="inlineStr">
        <is>
          <t>4 files, one download.  The Website Launch &amp; Care Handbook: Website Launch &amp; Care Handbook; Website Planning Brief; Laun</t>
        </is>
      </c>
    </row>
    <row r="303">
      <c r="A303" s="7" t="n">
        <v>28</v>
      </c>
      <c r="B303" s="8">
        <f>$B$3+27</f>
        <v/>
      </c>
      <c r="C303" s="7">
        <f>TEXT(B303,"ddd")</f>
        <v/>
      </c>
      <c r="D303" s="7" t="inlineStr">
        <is>
          <t>08:00</t>
        </is>
      </c>
      <c r="E303" s="7" t="inlineStr">
        <is>
          <t>Instagram + Facebook feed</t>
        </is>
      </c>
      <c r="F303" s="7" t="inlineStr">
        <is>
          <t>CORE</t>
        </is>
      </c>
      <c r="G303" s="7" t="inlineStr">
        <is>
          <t>01 The Chat-to-Customer Playbook</t>
        </is>
      </c>
      <c r="H303" s="7" t="inlineStr">
        <is>
          <t>Carousel or tip post</t>
        </is>
      </c>
      <c r="I303" s="7" t="inlineStr">
        <is>
          <t>O01_Carousel1_Slide1.png, O01_Carousel1_Slide2.png, O01_Carousel1_Slide3.png, O01_Carousel1_Slide4.png, O01_Carousel1_Slide5.png, O01_Carousel1_Slide6.png</t>
        </is>
      </c>
      <c r="J303" s="9" t="inlineStr"/>
      <c r="K303" s="7" t="inlineStr">
        <is>
          <t>Five stages of a chat sale  Swipe through the five stages every chat goes through. The Playbook turns each into scripts.</t>
        </is>
      </c>
    </row>
    <row r="304">
      <c r="A304" s="7" t="n">
        <v>28</v>
      </c>
      <c r="B304" s="8">
        <f>$B$3+27</f>
        <v/>
      </c>
      <c r="C304" s="7">
        <f>TEXT(B304,"ddd")</f>
        <v/>
      </c>
      <c r="D304" s="7" t="inlineStr">
        <is>
          <t>09:00</t>
        </is>
      </c>
      <c r="E304" s="7" t="inlineStr">
        <is>
          <t>WhatsApp Status</t>
        </is>
      </c>
      <c r="F304" s="7" t="inlineStr">
        <is>
          <t>optional</t>
        </is>
      </c>
      <c r="G304" s="7" t="inlineStr">
        <is>
          <t>01 The Chat-to-Customer Playbook</t>
        </is>
      </c>
      <c r="H304" s="7" t="inlineStr">
        <is>
          <t>Launch / promo post</t>
        </is>
      </c>
      <c r="I304" s="7" t="inlineStr">
        <is>
          <t>O01_Post02_Launch.png</t>
        </is>
      </c>
      <c r="J304" s="9" t="inlineStr"/>
      <c r="K304" s="7" t="inlineStr">
        <is>
          <t>New from Easywurld: The Chat-to-Customer Playbook.  Turn WhatsApp and DM enquiries into paid orders, with scripts, a tra</t>
        </is>
      </c>
    </row>
    <row r="305">
      <c r="A305" s="7" t="n">
        <v>28</v>
      </c>
      <c r="B305" s="8">
        <f>$B$3+27</f>
        <v/>
      </c>
      <c r="C305" s="7">
        <f>TEXT(B305,"ddd")</f>
        <v/>
      </c>
      <c r="D305" s="7" t="inlineStr">
        <is>
          <t>10:30</t>
        </is>
      </c>
      <c r="E305" s="7" t="inlineStr">
        <is>
          <t>Instagram Story</t>
        </is>
      </c>
      <c r="F305" s="7" t="inlineStr">
        <is>
          <t>optional</t>
        </is>
      </c>
      <c r="G305" s="7" t="inlineStr">
        <is>
          <t>01 The Chat-to-Customer Playbook</t>
        </is>
      </c>
      <c r="H305" s="7" t="inlineStr">
        <is>
          <t>New-offer story</t>
        </is>
      </c>
      <c r="I305" s="7" t="inlineStr">
        <is>
          <t>O01_Story1_New.png</t>
        </is>
      </c>
      <c r="J305" s="9" t="inlineStr"/>
      <c r="K305" s="7" t="inlineStr">
        <is>
          <t xml:space="preserve">New: The Chat-to-Customer Playbook. Tap, then message PLAYBOOK on WhatsApp. Sticker text suggestion: “Message PLAYBOOK” </t>
        </is>
      </c>
    </row>
    <row r="306">
      <c r="A306" s="7" t="n">
        <v>28</v>
      </c>
      <c r="B306" s="8">
        <f>$B$3+27</f>
        <v/>
      </c>
      <c r="C306" s="7">
        <f>TEXT(B306,"ddd")</f>
        <v/>
      </c>
      <c r="D306" s="7" t="inlineStr">
        <is>
          <t>12:30</t>
        </is>
      </c>
      <c r="E306" s="7" t="inlineStr">
        <is>
          <t>Instagram Reel + Facebook video</t>
        </is>
      </c>
      <c r="F306" s="7" t="inlineStr">
        <is>
          <t>CORE</t>
        </is>
      </c>
      <c r="G306" s="7" t="inlineStr">
        <is>
          <t>01 The Chat-to-Customer Playbook</t>
        </is>
      </c>
      <c r="H306" s="7" t="inlineStr">
        <is>
          <t>Short video</t>
        </is>
      </c>
      <c r="I306" s="7" t="inlineStr">
        <is>
          <t>O01_Video1_Price-question.mp4</t>
        </is>
      </c>
      <c r="J306" s="9" t="inlineStr"/>
      <c r="K306" s="7" t="inlineStr">
        <is>
          <t>Price question  Caption: Message PLAYBOOK on WhatsApp: 0905 069 0837 The Chat-to-Customer Playbook: ₦5,000. Do-it-yourse</t>
        </is>
      </c>
    </row>
    <row r="307">
      <c r="A307" s="7" t="n">
        <v>28</v>
      </c>
      <c r="B307" s="8">
        <f>$B$3+27</f>
        <v/>
      </c>
      <c r="C307" s="7">
        <f>TEXT(B307,"ddd")</f>
        <v/>
      </c>
      <c r="D307" s="7" t="inlineStr">
        <is>
          <t>13:30</t>
        </is>
      </c>
      <c r="E307" s="7" t="inlineStr">
        <is>
          <t>WhatsApp Status</t>
        </is>
      </c>
      <c r="F307" s="7" t="inlineStr">
        <is>
          <t>optional</t>
        </is>
      </c>
      <c r="G307" s="7" t="inlineStr">
        <is>
          <t>01 The Chat-to-Customer Playbook</t>
        </is>
      </c>
      <c r="H307" s="7" t="inlineStr">
        <is>
          <t>What is inside</t>
        </is>
      </c>
      <c r="I307" s="7" t="inlineStr">
        <is>
          <t>O01_Post09_Mockup.png</t>
        </is>
      </c>
      <c r="J307" s="9" t="inlineStr"/>
      <c r="K307" s="7" t="inlineStr">
        <is>
          <t>4 files, one download.  The Chat-to-Customer Playbook: Chat-to-Customer Playbook; 36-Script Message Library; Lead &amp; Foll</t>
        </is>
      </c>
    </row>
    <row r="308">
      <c r="A308" s="7" t="n">
        <v>28</v>
      </c>
      <c r="B308" s="8">
        <f>$B$3+27</f>
        <v/>
      </c>
      <c r="C308" s="7">
        <f>TEXT(B308,"ddd")</f>
        <v/>
      </c>
      <c r="D308" s="7" t="inlineStr">
        <is>
          <t>15:00</t>
        </is>
      </c>
      <c r="E308" s="7" t="inlineStr">
        <is>
          <t>Facebook feed</t>
        </is>
      </c>
      <c r="F308" s="7" t="inlineStr">
        <is>
          <t>CORE</t>
        </is>
      </c>
      <c r="G308" s="7" t="inlineStr">
        <is>
          <t>01 The Chat-to-Customer Playbook</t>
        </is>
      </c>
      <c r="H308" s="7" t="inlineStr">
        <is>
          <t>Honest-answer (objection) post</t>
        </is>
      </c>
      <c r="I308" s="7" t="inlineStr">
        <is>
          <t>O01_Post08_Honest-answer.png</t>
        </is>
      </c>
      <c r="J308" s="9" t="inlineStr"/>
      <c r="K308" s="7" t="inlineStr">
        <is>
          <t>Fair. That is why it is built to be used, not studied.  Read the Playbook in about 25 minutes. Copy the scripts you need</t>
        </is>
      </c>
    </row>
    <row r="309">
      <c r="A309" s="7" t="n">
        <v>28</v>
      </c>
      <c r="B309" s="8">
        <f>$B$3+27</f>
        <v/>
      </c>
      <c r="C309" s="7">
        <f>TEXT(B309,"ddd")</f>
        <v/>
      </c>
      <c r="D309" s="7" t="inlineStr">
        <is>
          <t>16:00</t>
        </is>
      </c>
      <c r="E309" s="7" t="inlineStr">
        <is>
          <t>Instagram Story</t>
        </is>
      </c>
      <c r="F309" s="7" t="inlineStr">
        <is>
          <t>optional</t>
        </is>
      </c>
      <c r="G309" s="7" t="inlineStr">
        <is>
          <t>01 The Chat-to-Customer Playbook</t>
        </is>
      </c>
      <c r="H309" s="7" t="inlineStr">
        <is>
          <t>Price story</t>
        </is>
      </c>
      <c r="I309" s="7" t="inlineStr">
        <is>
          <t>O01_Story2_Price.png</t>
        </is>
      </c>
      <c r="J309" s="9" t="inlineStr"/>
      <c r="K309" s="7" t="inlineStr">
        <is>
          <t>The Chat-to-Customer Playbook: ₦5,000. Estimated replacement cost of what is inside: ₦35,000 (our estimate, not a previo</t>
        </is>
      </c>
    </row>
    <row r="310">
      <c r="A310" s="7" t="n">
        <v>28</v>
      </c>
      <c r="B310" s="8">
        <f>$B$3+27</f>
        <v/>
      </c>
      <c r="C310" s="7">
        <f>TEXT(B310,"ddd")</f>
        <v/>
      </c>
      <c r="D310" s="7" t="inlineStr">
        <is>
          <t>17:00</t>
        </is>
      </c>
      <c r="E310" s="7" t="inlineStr">
        <is>
          <t>WhatsApp Status</t>
        </is>
      </c>
      <c r="F310" s="7" t="inlineStr">
        <is>
          <t>CORE</t>
        </is>
      </c>
      <c r="G310" s="7" t="inlineStr">
        <is>
          <t>01 The Chat-to-Customer Playbook</t>
        </is>
      </c>
      <c r="H310" s="7" t="inlineStr">
        <is>
          <t>Direct-response post</t>
        </is>
      </c>
      <c r="I310" s="7" t="inlineStr">
        <is>
          <t>O01_Post06_Order.png</t>
        </is>
      </c>
      <c r="J310" s="9" t="inlineStr"/>
      <c r="K310" s="7" t="inlineStr">
        <is>
          <t>Want the The Chat-to-Customer Playbook?  Send the word PLAYBOOK on WhatsApp (0905 069 0837) and we will reply with how t</t>
        </is>
      </c>
    </row>
    <row r="311">
      <c r="A311" s="7" t="n">
        <v>28</v>
      </c>
      <c r="B311" s="8">
        <f>$B$3+27</f>
        <v/>
      </c>
      <c r="C311" s="7">
        <f>TEXT(B311,"ddd")</f>
        <v/>
      </c>
      <c r="D311" s="7" t="inlineStr">
        <is>
          <t>18:30</t>
        </is>
      </c>
      <c r="E311" s="7" t="inlineStr">
        <is>
          <t>LinkedIn</t>
        </is>
      </c>
      <c r="F311" s="7" t="inlineStr">
        <is>
          <t>optional</t>
        </is>
      </c>
      <c r="G311" s="7" t="inlineStr">
        <is>
          <t>01 The Chat-to-Customer Playbook</t>
        </is>
      </c>
      <c r="H311" s="7" t="inlineStr">
        <is>
          <t>Text post (no media needed)</t>
        </is>
      </c>
      <c r="I311" s="7" t="inlineStr">
        <is>
          <t>O01_LinkedIn2.txt</t>
        </is>
      </c>
      <c r="J311" s="9" t="inlineStr"/>
      <c r="K311" s="7" t="inlineStr">
        <is>
          <t xml:space="preserve">A question for anyone who sells through WhatsApp: how many enquiries did you get last week, and how many did you follow </t>
        </is>
      </c>
    </row>
    <row r="312">
      <c r="A312" s="7" t="n">
        <v>28</v>
      </c>
      <c r="B312" s="8">
        <f>$B$3+27</f>
        <v/>
      </c>
      <c r="C312" s="7">
        <f>TEXT(B312,"ddd")</f>
        <v/>
      </c>
      <c r="D312" s="7" t="inlineStr">
        <is>
          <t>20:00</t>
        </is>
      </c>
      <c r="E312" s="7" t="inlineStr">
        <is>
          <t>Instagram + Facebook feed</t>
        </is>
      </c>
      <c r="F312" s="7" t="inlineStr">
        <is>
          <t>optional</t>
        </is>
      </c>
      <c r="G312" s="7" t="inlineStr">
        <is>
          <t>01 The Chat-to-Customer Playbook</t>
        </is>
      </c>
      <c r="H312" s="7" t="inlineStr">
        <is>
          <t>Second feed post</t>
        </is>
      </c>
      <c r="I312" s="7" t="inlineStr">
        <is>
          <t>O01_Post01_Tip.png</t>
        </is>
      </c>
      <c r="J312" s="9" t="inlineStr"/>
      <c r="K312" s="7" t="inlineStr">
        <is>
          <t>Someone asks “how much?” and you reply with a number. Then silence.  Try three parts instead: 1. The price 2. What it in</t>
        </is>
      </c>
    </row>
    <row r="313">
      <c r="A313" s="7" t="n">
        <v>28</v>
      </c>
      <c r="B313" s="8">
        <f>$B$3+27</f>
        <v/>
      </c>
      <c r="C313" s="7">
        <f>TEXT(B313,"ddd")</f>
        <v/>
      </c>
      <c r="D313" s="7" t="inlineStr">
        <is>
          <t>21:00</t>
        </is>
      </c>
      <c r="E313" s="7" t="inlineStr">
        <is>
          <t>WhatsApp Status</t>
        </is>
      </c>
      <c r="F313" s="7" t="inlineStr">
        <is>
          <t>optional</t>
        </is>
      </c>
      <c r="G313" s="7" t="inlineStr">
        <is>
          <t>01 The Chat-to-Customer Playbook</t>
        </is>
      </c>
      <c r="H313" s="7" t="inlineStr">
        <is>
          <t>Banner or price graphic</t>
        </is>
      </c>
      <c r="I313" s="7" t="inlineStr">
        <is>
          <t>O01_Banner.png</t>
        </is>
      </c>
      <c r="J313" s="9" t="inlineStr"/>
      <c r="K313" s="7" t="inlineStr">
        <is>
          <t>The Chat-to-Customer Playbook. ₦5,000.  Turn WhatsApp and DM enquiries into paid orders, with scripts, a tracker and a f</t>
        </is>
      </c>
    </row>
    <row r="314">
      <c r="A314" s="7" t="n">
        <v>29</v>
      </c>
      <c r="B314" s="8">
        <f>$B$3+28</f>
        <v/>
      </c>
      <c r="C314" s="7">
        <f>TEXT(B314,"ddd")</f>
        <v/>
      </c>
      <c r="D314" s="7" t="inlineStr">
        <is>
          <t>08:00</t>
        </is>
      </c>
      <c r="E314" s="7" t="inlineStr">
        <is>
          <t>Instagram + Facebook feed</t>
        </is>
      </c>
      <c r="F314" s="7" t="inlineStr">
        <is>
          <t>CORE</t>
        </is>
      </c>
      <c r="G314" s="7" t="inlineStr">
        <is>
          <t>02 The Clear Homepage Blueprint</t>
        </is>
      </c>
      <c r="H314" s="7" t="inlineStr">
        <is>
          <t>Carousel or tip post</t>
        </is>
      </c>
      <c r="I314" s="7" t="inlineStr">
        <is>
          <t>O02_Carousel1_Slide1.png, O02_Carousel1_Slide2.png, O02_Carousel1_Slide3.png, O02_Carousel1_Slide4.png, O02_Carousel1_Slide5.png, O02_Carousel1_Slide6.png</t>
        </is>
      </c>
      <c r="J314" s="9" t="inlineStr"/>
      <c r="K314" s="7" t="inlineStr">
        <is>
          <t>The ten-second test  Five questions a visitor silently asks.  Clear Homepage Blueprint, ₦5,000. Message CLEAR on WhatsAp</t>
        </is>
      </c>
    </row>
    <row r="315">
      <c r="A315" s="7" t="n">
        <v>29</v>
      </c>
      <c r="B315" s="8">
        <f>$B$3+28</f>
        <v/>
      </c>
      <c r="C315" s="7">
        <f>TEXT(B315,"ddd")</f>
        <v/>
      </c>
      <c r="D315" s="7" t="inlineStr">
        <is>
          <t>09:00</t>
        </is>
      </c>
      <c r="E315" s="7" t="inlineStr">
        <is>
          <t>WhatsApp Status</t>
        </is>
      </c>
      <c r="F315" s="7" t="inlineStr">
        <is>
          <t>optional</t>
        </is>
      </c>
      <c r="G315" s="7" t="inlineStr">
        <is>
          <t>02 The Clear Homepage Blueprint</t>
        </is>
      </c>
      <c r="H315" s="7" t="inlineStr">
        <is>
          <t>Launch / promo post</t>
        </is>
      </c>
      <c r="I315" s="7" t="inlineStr">
        <is>
          <t>O02_Post02_Launch.png</t>
        </is>
      </c>
      <c r="J315" s="9" t="inlineStr"/>
      <c r="K315" s="7" t="inlineStr">
        <is>
          <t>New from Easywurld: The Clear Homepage Blueprint.  Rewrite your homepage so a visitor knows what you sell, who it is for</t>
        </is>
      </c>
    </row>
    <row r="316">
      <c r="A316" s="7" t="n">
        <v>29</v>
      </c>
      <c r="B316" s="8">
        <f>$B$3+28</f>
        <v/>
      </c>
      <c r="C316" s="7">
        <f>TEXT(B316,"ddd")</f>
        <v/>
      </c>
      <c r="D316" s="7" t="inlineStr">
        <is>
          <t>10:30</t>
        </is>
      </c>
      <c r="E316" s="7" t="inlineStr">
        <is>
          <t>Instagram Story</t>
        </is>
      </c>
      <c r="F316" s="7" t="inlineStr">
        <is>
          <t>optional</t>
        </is>
      </c>
      <c r="G316" s="7" t="inlineStr">
        <is>
          <t>02 The Clear Homepage Blueprint</t>
        </is>
      </c>
      <c r="H316" s="7" t="inlineStr">
        <is>
          <t>New-offer story</t>
        </is>
      </c>
      <c r="I316" s="7" t="inlineStr">
        <is>
          <t>O02_Story1_New.png</t>
        </is>
      </c>
      <c r="J316" s="9" t="inlineStr"/>
      <c r="K316" s="7" t="inlineStr">
        <is>
          <t>New: The Clear Homepage Blueprint. Tap, then message CLEAR on WhatsApp. Sticker text suggestion: “Message CLEAR” Link or</t>
        </is>
      </c>
    </row>
    <row r="317">
      <c r="A317" s="7" t="n">
        <v>29</v>
      </c>
      <c r="B317" s="8">
        <f>$B$3+28</f>
        <v/>
      </c>
      <c r="C317" s="7">
        <f>TEXT(B317,"ddd")</f>
        <v/>
      </c>
      <c r="D317" s="7" t="inlineStr">
        <is>
          <t>12:30</t>
        </is>
      </c>
      <c r="E317" s="7" t="inlineStr">
        <is>
          <t>Instagram Reel + Facebook video</t>
        </is>
      </c>
      <c r="F317" s="7" t="inlineStr">
        <is>
          <t>CORE</t>
        </is>
      </c>
      <c r="G317" s="7" t="inlineStr">
        <is>
          <t>02 The Clear Homepage Blueprint</t>
        </is>
      </c>
      <c r="H317" s="7" t="inlineStr">
        <is>
          <t>Short video</t>
        </is>
      </c>
      <c r="I317" s="7" t="inlineStr">
        <is>
          <t>O02_Video1_Ten-second-test.mp4</t>
        </is>
      </c>
      <c r="J317" s="9" t="inlineStr"/>
      <c r="K317" s="7" t="inlineStr">
        <is>
          <t>Ten-second test  Caption: Message CLEAR on WhatsApp: 0905 069 0837 The Clear Homepage Blueprint: ₦5,000. Do-it-yourself,</t>
        </is>
      </c>
    </row>
    <row r="318">
      <c r="A318" s="7" t="n">
        <v>29</v>
      </c>
      <c r="B318" s="8">
        <f>$B$3+28</f>
        <v/>
      </c>
      <c r="C318" s="7">
        <f>TEXT(B318,"ddd")</f>
        <v/>
      </c>
      <c r="D318" s="7" t="inlineStr">
        <is>
          <t>13:30</t>
        </is>
      </c>
      <c r="E318" s="7" t="inlineStr">
        <is>
          <t>WhatsApp Status</t>
        </is>
      </c>
      <c r="F318" s="7" t="inlineStr">
        <is>
          <t>optional</t>
        </is>
      </c>
      <c r="G318" s="7" t="inlineStr">
        <is>
          <t>02 The Clear Homepage Blueprint</t>
        </is>
      </c>
      <c r="H318" s="7" t="inlineStr">
        <is>
          <t>What is inside</t>
        </is>
      </c>
      <c r="I318" s="7" t="inlineStr">
        <is>
          <t>O02_Banner.png</t>
        </is>
      </c>
      <c r="J318" s="9" t="inlineStr"/>
      <c r="K318" s="7" t="inlineStr">
        <is>
          <t>The Clear Homepage Blueprint. ₦5,000.  Rewrite your homepage so a visitor knows what you sell, who it is for and what to</t>
        </is>
      </c>
    </row>
    <row r="319">
      <c r="A319" s="7" t="n">
        <v>29</v>
      </c>
      <c r="B319" s="8">
        <f>$B$3+28</f>
        <v/>
      </c>
      <c r="C319" s="7">
        <f>TEXT(B319,"ddd")</f>
        <v/>
      </c>
      <c r="D319" s="7" t="inlineStr">
        <is>
          <t>15:00</t>
        </is>
      </c>
      <c r="E319" s="7" t="inlineStr">
        <is>
          <t>Facebook feed</t>
        </is>
      </c>
      <c r="F319" s="7" t="inlineStr">
        <is>
          <t>CORE</t>
        </is>
      </c>
      <c r="G319" s="7" t="inlineStr">
        <is>
          <t>02 The Clear Homepage Blueprint</t>
        </is>
      </c>
      <c r="H319" s="7" t="inlineStr">
        <is>
          <t>Honest-answer (objection) post</t>
        </is>
      </c>
      <c r="I319" s="7" t="inlineStr">
        <is>
          <t>O02_Post08_Honest-answer.png</t>
        </is>
      </c>
      <c r="J319" s="9" t="inlineStr"/>
      <c r="K319" s="7" t="inlineStr">
        <is>
          <t>Honest answer: no. The Clear Homepage Blueprint is a do-it-yourself kit.  You get a method, fill-in templates, a planner</t>
        </is>
      </c>
    </row>
    <row r="320">
      <c r="A320" s="7" t="n">
        <v>29</v>
      </c>
      <c r="B320" s="8">
        <f>$B$3+28</f>
        <v/>
      </c>
      <c r="C320" s="7">
        <f>TEXT(B320,"ddd")</f>
        <v/>
      </c>
      <c r="D320" s="7" t="inlineStr">
        <is>
          <t>16:00</t>
        </is>
      </c>
      <c r="E320" s="7" t="inlineStr">
        <is>
          <t>Instagram Story</t>
        </is>
      </c>
      <c r="F320" s="7" t="inlineStr">
        <is>
          <t>optional</t>
        </is>
      </c>
      <c r="G320" s="7" t="inlineStr">
        <is>
          <t>02 The Clear Homepage Blueprint</t>
        </is>
      </c>
      <c r="H320" s="7" t="inlineStr">
        <is>
          <t>Price story</t>
        </is>
      </c>
      <c r="I320" s="7" t="inlineStr">
        <is>
          <t>O02_Story2_Price.png</t>
        </is>
      </c>
      <c r="J320" s="9" t="inlineStr"/>
      <c r="K320" s="7" t="inlineStr">
        <is>
          <t>The Clear Homepage Blueprint: ₦5,000. Estimated replacement cost of what is inside: ₦32,500 (our estimate, not a previou</t>
        </is>
      </c>
    </row>
    <row r="321">
      <c r="A321" s="7" t="n">
        <v>29</v>
      </c>
      <c r="B321" s="8">
        <f>$B$3+28</f>
        <v/>
      </c>
      <c r="C321" s="7">
        <f>TEXT(B321,"ddd")</f>
        <v/>
      </c>
      <c r="D321" s="7" t="inlineStr">
        <is>
          <t>17:00</t>
        </is>
      </c>
      <c r="E321" s="7" t="inlineStr">
        <is>
          <t>WhatsApp Status</t>
        </is>
      </c>
      <c r="F321" s="7" t="inlineStr">
        <is>
          <t>CORE</t>
        </is>
      </c>
      <c r="G321" s="7" t="inlineStr">
        <is>
          <t>02 The Clear Homepage Blueprint</t>
        </is>
      </c>
      <c r="H321" s="7" t="inlineStr">
        <is>
          <t>Direct-response post</t>
        </is>
      </c>
      <c r="I321" s="7" t="inlineStr">
        <is>
          <t>O02_Post06_Order.png</t>
        </is>
      </c>
      <c r="J321" s="9" t="inlineStr"/>
      <c r="K321" s="7" t="inlineStr">
        <is>
          <t>Want the The Clear Homepage Blueprint?  Send the word CLEAR on WhatsApp (0905 069 0837) and we will reply with how to pa</t>
        </is>
      </c>
    </row>
    <row r="322">
      <c r="A322" s="7" t="n">
        <v>29</v>
      </c>
      <c r="B322" s="8">
        <f>$B$3+28</f>
        <v/>
      </c>
      <c r="C322" s="7">
        <f>TEXT(B322,"ddd")</f>
        <v/>
      </c>
      <c r="D322" s="7" t="inlineStr">
        <is>
          <t>18:30</t>
        </is>
      </c>
      <c r="E322" s="7" t="inlineStr">
        <is>
          <t>LinkedIn</t>
        </is>
      </c>
      <c r="F322" s="7" t="inlineStr">
        <is>
          <t>optional</t>
        </is>
      </c>
      <c r="G322" s="7" t="inlineStr">
        <is>
          <t>02 The Clear Homepage Blueprint</t>
        </is>
      </c>
      <c r="H322" s="7" t="inlineStr">
        <is>
          <t>Text post (no media needed)</t>
        </is>
      </c>
      <c r="I322" s="7" t="inlineStr">
        <is>
          <t>O02_LinkedIn2.txt</t>
        </is>
      </c>
      <c r="J322" s="9" t="inlineStr"/>
      <c r="K322" s="7" t="inlineStr">
        <is>
          <t>Try this today: open your homepage on your phone, without scrolling, and ask a friend to say what you sell.  If they can</t>
        </is>
      </c>
    </row>
    <row r="323">
      <c r="A323" s="7" t="n">
        <v>29</v>
      </c>
      <c r="B323" s="8">
        <f>$B$3+28</f>
        <v/>
      </c>
      <c r="C323" s="7">
        <f>TEXT(B323,"ddd")</f>
        <v/>
      </c>
      <c r="D323" s="7" t="inlineStr">
        <is>
          <t>20:00</t>
        </is>
      </c>
      <c r="E323" s="7" t="inlineStr">
        <is>
          <t>Instagram + Facebook feed</t>
        </is>
      </c>
      <c r="F323" s="7" t="inlineStr">
        <is>
          <t>optional</t>
        </is>
      </c>
      <c r="G323" s="7" t="inlineStr">
        <is>
          <t>02 The Clear Homepage Blueprint</t>
        </is>
      </c>
      <c r="H323" s="7" t="inlineStr">
        <is>
          <t>Second feed post</t>
        </is>
      </c>
      <c r="I323" s="7" t="inlineStr">
        <is>
          <t>O02_Post01_Tip.png</t>
        </is>
      </c>
      <c r="J323" s="9" t="inlineStr"/>
      <c r="K323" s="7" t="inlineStr">
        <is>
          <t>Show your homepage to a friend for ten seconds. Then hide it.  Ask three questions: 1. What does this business do? 2. Wh</t>
        </is>
      </c>
    </row>
    <row r="324">
      <c r="A324" s="7" t="n">
        <v>29</v>
      </c>
      <c r="B324" s="8">
        <f>$B$3+28</f>
        <v/>
      </c>
      <c r="C324" s="7">
        <f>TEXT(B324,"ddd")</f>
        <v/>
      </c>
      <c r="D324" s="7" t="inlineStr">
        <is>
          <t>21:00</t>
        </is>
      </c>
      <c r="E324" s="7" t="inlineStr">
        <is>
          <t>WhatsApp Status</t>
        </is>
      </c>
      <c r="F324" s="7" t="inlineStr">
        <is>
          <t>optional</t>
        </is>
      </c>
      <c r="G324" s="7" t="inlineStr">
        <is>
          <t>02 The Clear Homepage Blueprint</t>
        </is>
      </c>
      <c r="H324" s="7" t="inlineStr">
        <is>
          <t>Banner or price graphic</t>
        </is>
      </c>
      <c r="I324" s="7" t="inlineStr">
        <is>
          <t>O02_Post05_Value.png</t>
        </is>
      </c>
      <c r="J324" s="9" t="inlineStr"/>
      <c r="K324" s="7" t="inlineStr">
        <is>
          <t>What is inside the The Clear Homepage Blueprint, and what we estimate it would cost to produce.  - Clear Homepage Bluepr</t>
        </is>
      </c>
    </row>
    <row r="325">
      <c r="A325" s="7" t="n">
        <v>30</v>
      </c>
      <c r="B325" s="8">
        <f>$B$3+29</f>
        <v/>
      </c>
      <c r="C325" s="7">
        <f>TEXT(B325,"ddd")</f>
        <v/>
      </c>
      <c r="D325" s="7" t="inlineStr">
        <is>
          <t>08:00</t>
        </is>
      </c>
      <c r="E325" s="7" t="inlineStr">
        <is>
          <t>Instagram + Facebook feed</t>
        </is>
      </c>
      <c r="F325" s="7" t="inlineStr">
        <is>
          <t>CORE</t>
        </is>
      </c>
      <c r="G325" s="7" t="inlineStr">
        <is>
          <t>03 The 30-Day Content Engine</t>
        </is>
      </c>
      <c r="H325" s="7" t="inlineStr">
        <is>
          <t>Carousel or tip post</t>
        </is>
      </c>
      <c r="I325" s="7" t="inlineStr">
        <is>
          <t>O03_Carousel1_Slide1.png, O03_Carousel1_Slide2.png, O03_Carousel1_Slide3.png, O03_Carousel1_Slide4.png, O03_Carousel1_Slide5.png, O03_Carousel1_Slide6.png</t>
        </is>
      </c>
      <c r="J325" s="9" t="inlineStr"/>
      <c r="K325" s="7" t="inlineStr">
        <is>
          <t>The four content pillars  A simple structure to stop running out of ideas.  30-Day Content Engine, ₦5,000. Message ENGIN</t>
        </is>
      </c>
    </row>
    <row r="326">
      <c r="A326" s="7" t="n">
        <v>30</v>
      </c>
      <c r="B326" s="8">
        <f>$B$3+29</f>
        <v/>
      </c>
      <c r="C326" s="7">
        <f>TEXT(B326,"ddd")</f>
        <v/>
      </c>
      <c r="D326" s="7" t="inlineStr">
        <is>
          <t>09:00</t>
        </is>
      </c>
      <c r="E326" s="7" t="inlineStr">
        <is>
          <t>WhatsApp Status</t>
        </is>
      </c>
      <c r="F326" s="7" t="inlineStr">
        <is>
          <t>optional</t>
        </is>
      </c>
      <c r="G326" s="7" t="inlineStr">
        <is>
          <t>03 The 30-Day Content Engine</t>
        </is>
      </c>
      <c r="H326" s="7" t="inlineStr">
        <is>
          <t>Launch / promo post</t>
        </is>
      </c>
      <c r="I326" s="7" t="inlineStr">
        <is>
          <t>O03_Post02_Launch.png</t>
        </is>
      </c>
      <c r="J326" s="9" t="inlineStr"/>
      <c r="K326" s="7" t="inlineStr">
        <is>
          <t>New from Easywurld: The 30-Day Content Engine.  A realistic one-person content system: pillars, 60 post ideas, hook form</t>
        </is>
      </c>
    </row>
    <row r="327">
      <c r="A327" s="7" t="n">
        <v>30</v>
      </c>
      <c r="B327" s="8">
        <f>$B$3+29</f>
        <v/>
      </c>
      <c r="C327" s="7">
        <f>TEXT(B327,"ddd")</f>
        <v/>
      </c>
      <c r="D327" s="7" t="inlineStr">
        <is>
          <t>10:30</t>
        </is>
      </c>
      <c r="E327" s="7" t="inlineStr">
        <is>
          <t>Instagram Story</t>
        </is>
      </c>
      <c r="F327" s="7" t="inlineStr">
        <is>
          <t>optional</t>
        </is>
      </c>
      <c r="G327" s="7" t="inlineStr">
        <is>
          <t>03 The 30-Day Content Engine</t>
        </is>
      </c>
      <c r="H327" s="7" t="inlineStr">
        <is>
          <t>New-offer story</t>
        </is>
      </c>
      <c r="I327" s="7" t="inlineStr">
        <is>
          <t>O03_Story1_New.png</t>
        </is>
      </c>
      <c r="J327" s="9" t="inlineStr"/>
      <c r="K327" s="7" t="inlineStr">
        <is>
          <t xml:space="preserve">New: The 30-Day Content Engine. Tap, then message ENGINE on WhatsApp. Sticker text suggestion: “Message ENGINE” Link or </t>
        </is>
      </c>
    </row>
    <row r="328">
      <c r="A328" s="7" t="n">
        <v>30</v>
      </c>
      <c r="B328" s="8">
        <f>$B$3+29</f>
        <v/>
      </c>
      <c r="C328" s="7">
        <f>TEXT(B328,"ddd")</f>
        <v/>
      </c>
      <c r="D328" s="7" t="inlineStr">
        <is>
          <t>12:30</t>
        </is>
      </c>
      <c r="E328" s="7" t="inlineStr">
        <is>
          <t>Instagram Reel + Facebook video</t>
        </is>
      </c>
      <c r="F328" s="7" t="inlineStr">
        <is>
          <t>CORE</t>
        </is>
      </c>
      <c r="G328" s="7" t="inlineStr">
        <is>
          <t>03 The 30-Day Content Engine</t>
        </is>
      </c>
      <c r="H328" s="7" t="inlineStr">
        <is>
          <t>Short video</t>
        </is>
      </c>
      <c r="I328" s="7" t="inlineStr">
        <is>
          <t>O03_Video1_Four-pillars.mp4</t>
        </is>
      </c>
      <c r="J328" s="9" t="inlineStr"/>
      <c r="K328" s="7" t="inlineStr">
        <is>
          <t>Four pillars  Caption: Message ENGINE on WhatsApp: 0905 069 0837 The 30-Day Content Engine: ₦5,000. Do-it-yourself, no g</t>
        </is>
      </c>
    </row>
    <row r="329">
      <c r="A329" s="7" t="n">
        <v>30</v>
      </c>
      <c r="B329" s="8">
        <f>$B$3+29</f>
        <v/>
      </c>
      <c r="C329" s="7">
        <f>TEXT(B329,"ddd")</f>
        <v/>
      </c>
      <c r="D329" s="7" t="inlineStr">
        <is>
          <t>13:30</t>
        </is>
      </c>
      <c r="E329" s="7" t="inlineStr">
        <is>
          <t>WhatsApp Status</t>
        </is>
      </c>
      <c r="F329" s="7" t="inlineStr">
        <is>
          <t>optional</t>
        </is>
      </c>
      <c r="G329" s="7" t="inlineStr">
        <is>
          <t>03 The 30-Day Content Engine</t>
        </is>
      </c>
      <c r="H329" s="7" t="inlineStr">
        <is>
          <t>What is inside</t>
        </is>
      </c>
      <c r="I329" s="7" t="inlineStr">
        <is>
          <t>O03_Banner.png</t>
        </is>
      </c>
      <c r="J329" s="9" t="inlineStr"/>
      <c r="K329" s="7" t="inlineStr">
        <is>
          <t>The 30-Day Content Engine. ₦5,000.  A realistic one-person content system: pillars, 60 post ideas, hook formulas and a 3</t>
        </is>
      </c>
    </row>
    <row r="330">
      <c r="A330" s="7" t="n">
        <v>30</v>
      </c>
      <c r="B330" s="8">
        <f>$B$3+29</f>
        <v/>
      </c>
      <c r="C330" s="7">
        <f>TEXT(B330,"ddd")</f>
        <v/>
      </c>
      <c r="D330" s="7" t="inlineStr">
        <is>
          <t>15:00</t>
        </is>
      </c>
      <c r="E330" s="7" t="inlineStr">
        <is>
          <t>Facebook feed</t>
        </is>
      </c>
      <c r="F330" s="7" t="inlineStr">
        <is>
          <t>CORE</t>
        </is>
      </c>
      <c r="G330" s="7" t="inlineStr">
        <is>
          <t>03 The 30-Day Content Engine</t>
        </is>
      </c>
      <c r="H330" s="7" t="inlineStr">
        <is>
          <t>Honest-answer (objection) post</t>
        </is>
      </c>
      <c r="I330" s="7" t="inlineStr">
        <is>
          <t>O03_Post08_Honest-answer.png</t>
        </is>
      </c>
      <c r="J330" s="9" t="inlineStr"/>
      <c r="K330" s="7" t="inlineStr">
        <is>
          <t>No, and we want to be clear about that.  The 30-Day Content Engine is a planning system: a guide, 60 post ideas, a calen</t>
        </is>
      </c>
    </row>
    <row r="331">
      <c r="A331" s="7" t="n">
        <v>30</v>
      </c>
      <c r="B331" s="8">
        <f>$B$3+29</f>
        <v/>
      </c>
      <c r="C331" s="7">
        <f>TEXT(B331,"ddd")</f>
        <v/>
      </c>
      <c r="D331" s="7" t="inlineStr">
        <is>
          <t>16:00</t>
        </is>
      </c>
      <c r="E331" s="7" t="inlineStr">
        <is>
          <t>Instagram Story</t>
        </is>
      </c>
      <c r="F331" s="7" t="inlineStr">
        <is>
          <t>optional</t>
        </is>
      </c>
      <c r="G331" s="7" t="inlineStr">
        <is>
          <t>03 The 30-Day Content Engine</t>
        </is>
      </c>
      <c r="H331" s="7" t="inlineStr">
        <is>
          <t>Price story</t>
        </is>
      </c>
      <c r="I331" s="7" t="inlineStr">
        <is>
          <t>O03_Story2_Price.png</t>
        </is>
      </c>
      <c r="J331" s="9" t="inlineStr"/>
      <c r="K331" s="7" t="inlineStr">
        <is>
          <t>The 30-Day Content Engine: ₦5,000. Estimated replacement cost of what is inside: ₦32,500 (our estimate, not a previous p</t>
        </is>
      </c>
    </row>
    <row r="332">
      <c r="A332" s="7" t="n">
        <v>30</v>
      </c>
      <c r="B332" s="8">
        <f>$B$3+29</f>
        <v/>
      </c>
      <c r="C332" s="7">
        <f>TEXT(B332,"ddd")</f>
        <v/>
      </c>
      <c r="D332" s="7" t="inlineStr">
        <is>
          <t>17:00</t>
        </is>
      </c>
      <c r="E332" s="7" t="inlineStr">
        <is>
          <t>WhatsApp Status</t>
        </is>
      </c>
      <c r="F332" s="7" t="inlineStr">
        <is>
          <t>CORE</t>
        </is>
      </c>
      <c r="G332" s="7" t="inlineStr">
        <is>
          <t>03 The 30-Day Content Engine</t>
        </is>
      </c>
      <c r="H332" s="7" t="inlineStr">
        <is>
          <t>Direct-response post</t>
        </is>
      </c>
      <c r="I332" s="7" t="inlineStr">
        <is>
          <t>O03_Post06_Order.png</t>
        </is>
      </c>
      <c r="J332" s="9" t="inlineStr"/>
      <c r="K332" s="7" t="inlineStr">
        <is>
          <t xml:space="preserve">Want the The 30-Day Content Engine?  Send the word ENGINE on WhatsApp (0905 069 0837) and we will reply with how to pay </t>
        </is>
      </c>
    </row>
    <row r="333">
      <c r="A333" s="7" t="n">
        <v>30</v>
      </c>
      <c r="B333" s="8">
        <f>$B$3+29</f>
        <v/>
      </c>
      <c r="C333" s="7">
        <f>TEXT(B333,"ddd")</f>
        <v/>
      </c>
      <c r="D333" s="7" t="inlineStr">
        <is>
          <t>18:30</t>
        </is>
      </c>
      <c r="E333" s="7" t="inlineStr">
        <is>
          <t>LinkedIn</t>
        </is>
      </c>
      <c r="F333" s="7" t="inlineStr">
        <is>
          <t>optional</t>
        </is>
      </c>
      <c r="G333" s="7" t="inlineStr">
        <is>
          <t>03 The 30-Day Content Engine</t>
        </is>
      </c>
      <c r="H333" s="7" t="inlineStr">
        <is>
          <t>Text post (no media needed)</t>
        </is>
      </c>
      <c r="I333" s="7" t="inlineStr">
        <is>
          <t>O03_LinkedIn2.txt</t>
        </is>
      </c>
      <c r="J333" s="9" t="inlineStr"/>
      <c r="K333" s="7" t="inlineStr">
        <is>
          <t>A content calendar does not need software.  A spreadsheet with a date, a pillar, a format, a hook and a status is enough</t>
        </is>
      </c>
    </row>
    <row r="334">
      <c r="A334" s="7" t="n">
        <v>30</v>
      </c>
      <c r="B334" s="8">
        <f>$B$3+29</f>
        <v/>
      </c>
      <c r="C334" s="7">
        <f>TEXT(B334,"ddd")</f>
        <v/>
      </c>
      <c r="D334" s="7" t="inlineStr">
        <is>
          <t>20:00</t>
        </is>
      </c>
      <c r="E334" s="7" t="inlineStr">
        <is>
          <t>Instagram + Facebook feed</t>
        </is>
      </c>
      <c r="F334" s="7" t="inlineStr">
        <is>
          <t>optional</t>
        </is>
      </c>
      <c r="G334" s="7" t="inlineStr">
        <is>
          <t>03 The 30-Day Content Engine</t>
        </is>
      </c>
      <c r="H334" s="7" t="inlineStr">
        <is>
          <t>Second feed post</t>
        </is>
      </c>
      <c r="I334" s="7" t="inlineStr">
        <is>
          <t>O03_Post01_Tip.png</t>
        </is>
      </c>
      <c r="J334" s="9" t="inlineStr"/>
      <c r="K334" s="7" t="inlineStr">
        <is>
          <t>Running out of things to post?  Use four pillars: - TEACH: tips, how-tos, myths - SHOW: your work, process, behind the s</t>
        </is>
      </c>
    </row>
    <row r="335">
      <c r="A335" s="7" t="n">
        <v>30</v>
      </c>
      <c r="B335" s="8">
        <f>$B$3+29</f>
        <v/>
      </c>
      <c r="C335" s="7">
        <f>TEXT(B335,"ddd")</f>
        <v/>
      </c>
      <c r="D335" s="7" t="inlineStr">
        <is>
          <t>21:00</t>
        </is>
      </c>
      <c r="E335" s="7" t="inlineStr">
        <is>
          <t>WhatsApp Status</t>
        </is>
      </c>
      <c r="F335" s="7" t="inlineStr">
        <is>
          <t>optional</t>
        </is>
      </c>
      <c r="G335" s="7" t="inlineStr">
        <is>
          <t>03 The 30-Day Content Engine</t>
        </is>
      </c>
      <c r="H335" s="7" t="inlineStr">
        <is>
          <t>Banner or price graphic</t>
        </is>
      </c>
      <c r="I335" s="7" t="inlineStr">
        <is>
          <t>O03_Post05_Value.png</t>
        </is>
      </c>
      <c r="J335" s="9" t="inlineStr"/>
      <c r="K335" s="7" t="inlineStr">
        <is>
          <t>What is inside the The 30-Day Content Engine, and what we estimate it would cost to produce.  - 30-Day Content Engine Gu</t>
        </is>
      </c>
    </row>
  </sheetData>
  <autoFilter ref="A5:K335"/>
  <conditionalFormatting sqref="F6:F335">
    <cfRule type="cellIs" priority="1" operator="equal" dxfId="0">
      <formula>"CORE"</formula>
    </cfRule>
  </conditionalFormatting>
  <dataValidations count="1">
    <dataValidation sqref="J6:J335" showDropDown="0" showInputMessage="0" showErrorMessage="0" allowBlank="1" type="list">
      <formula1>"Yes,Skipped"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2026-10-13T23:15:36Z</dcterms:created>
  <dcterms:modified xmlns:dcterms="http://purl.org/dc/terms/" xmlns:xsi="http://www.w3.org/2001/XMLSchema-instance" xsi:type="dcterms:W3CDTF">2026-10-13T23:15:37Z</dcterms:modified>
</cp:coreProperties>
</file>